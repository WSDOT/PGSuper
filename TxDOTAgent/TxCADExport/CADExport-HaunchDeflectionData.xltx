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ecuellar\Desktop\"/>
    </mc:Choice>
  </mc:AlternateContent>
  <xr:revisionPtr revIDLastSave="0" documentId="13_ncr:1_{9F7C320D-0370-4D63-AD4C-9D91874F4C89}" xr6:coauthVersionLast="45" xr6:coauthVersionMax="45" xr10:uidLastSave="{00000000-0000-0000-0000-000000000000}"/>
  <bookViews>
    <workbookView xWindow="28680" yWindow="-120" windowWidth="29040" windowHeight="15990" activeTab="1" xr2:uid="{244D293F-3914-4C35-9F6A-5AE633457A82}"/>
  </bookViews>
  <sheets>
    <sheet name="Output" sheetId="1" r:id="rId1"/>
    <sheet name="Paste-To-Cad" sheetId="2" r:id="rId2"/>
  </sheets>
  <definedNames>
    <definedName name="A_Val">Output!$F$3</definedName>
    <definedName name="B_Val">Output!$G$3</definedName>
    <definedName name="BeamNo">Output!$B$3</definedName>
    <definedName name="SpanNo">Output!$A$3</definedName>
    <definedName name="X_Val">Output!$C$3</definedName>
    <definedName name="Y_Val">Output!$D$3</definedName>
    <definedName name="Z_Val">Output!$E$3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" i="2" l="1"/>
  <c r="H5" i="2" s="1"/>
  <c r="B5" i="2"/>
  <c r="I5" i="2" s="1"/>
  <c r="C5" i="2"/>
  <c r="D5" i="2"/>
  <c r="E5" i="2"/>
  <c r="J5" i="2"/>
  <c r="K5" i="2"/>
  <c r="A6" i="2"/>
  <c r="B6" i="2"/>
  <c r="I6" i="2" s="1"/>
  <c r="C6" i="2"/>
  <c r="D6" i="2"/>
  <c r="E6" i="2"/>
  <c r="H6" i="2"/>
  <c r="J6" i="2"/>
  <c r="K6" i="2"/>
  <c r="A7" i="2"/>
  <c r="B7" i="2"/>
  <c r="C7" i="2"/>
  <c r="D7" i="2"/>
  <c r="E7" i="2"/>
  <c r="H7" i="2"/>
  <c r="I7" i="2"/>
  <c r="J7" i="2"/>
  <c r="K7" i="2"/>
  <c r="A8" i="2"/>
  <c r="B8" i="2"/>
  <c r="I8" i="2" s="1"/>
  <c r="C8" i="2"/>
  <c r="D8" i="2"/>
  <c r="E8" i="2"/>
  <c r="H8" i="2"/>
  <c r="J8" i="2"/>
  <c r="K8" i="2"/>
  <c r="A9" i="2"/>
  <c r="H9" i="2" s="1"/>
  <c r="B9" i="2"/>
  <c r="I9" i="2" s="1"/>
  <c r="C9" i="2"/>
  <c r="D9" i="2"/>
  <c r="E9" i="2"/>
  <c r="J9" i="2"/>
  <c r="K9" i="2"/>
  <c r="A10" i="2"/>
  <c r="B10" i="2"/>
  <c r="I10" i="2" s="1"/>
  <c r="C10" i="2"/>
  <c r="D10" i="2"/>
  <c r="E10" i="2"/>
  <c r="H10" i="2"/>
  <c r="J10" i="2"/>
  <c r="K10" i="2"/>
  <c r="A11" i="2"/>
  <c r="B11" i="2"/>
  <c r="C11" i="2"/>
  <c r="D11" i="2"/>
  <c r="E11" i="2"/>
  <c r="H11" i="2"/>
  <c r="I11" i="2"/>
  <c r="J11" i="2"/>
  <c r="K11" i="2"/>
  <c r="A12" i="2"/>
  <c r="B12" i="2"/>
  <c r="I12" i="2" s="1"/>
  <c r="C12" i="2"/>
  <c r="D12" i="2"/>
  <c r="E12" i="2"/>
  <c r="H12" i="2"/>
  <c r="J12" i="2"/>
  <c r="K12" i="2"/>
  <c r="A13" i="2"/>
  <c r="H13" i="2" s="1"/>
  <c r="B13" i="2"/>
  <c r="I13" i="2" s="1"/>
  <c r="C13" i="2"/>
  <c r="D13" i="2"/>
  <c r="E13" i="2"/>
  <c r="J13" i="2"/>
  <c r="K13" i="2"/>
  <c r="A14" i="2"/>
  <c r="B14" i="2"/>
  <c r="I14" i="2" s="1"/>
  <c r="C14" i="2"/>
  <c r="D14" i="2"/>
  <c r="E14" i="2"/>
  <c r="H14" i="2"/>
  <c r="J14" i="2"/>
  <c r="K14" i="2"/>
  <c r="A15" i="2"/>
  <c r="B15" i="2"/>
  <c r="C15" i="2"/>
  <c r="D15" i="2"/>
  <c r="E15" i="2"/>
  <c r="H15" i="2"/>
  <c r="I15" i="2"/>
  <c r="J15" i="2"/>
  <c r="K15" i="2"/>
  <c r="A16" i="2"/>
  <c r="B16" i="2"/>
  <c r="I16" i="2" s="1"/>
  <c r="C16" i="2"/>
  <c r="D16" i="2"/>
  <c r="E16" i="2"/>
  <c r="H16" i="2"/>
  <c r="J16" i="2"/>
  <c r="K16" i="2"/>
  <c r="A17" i="2"/>
  <c r="H17" i="2" s="1"/>
  <c r="B17" i="2"/>
  <c r="I17" i="2" s="1"/>
  <c r="C17" i="2"/>
  <c r="D17" i="2"/>
  <c r="E17" i="2"/>
  <c r="J17" i="2"/>
  <c r="K17" i="2"/>
  <c r="A18" i="2"/>
  <c r="B18" i="2"/>
  <c r="I18" i="2" s="1"/>
  <c r="C18" i="2"/>
  <c r="D18" i="2"/>
  <c r="E18" i="2"/>
  <c r="H18" i="2"/>
  <c r="J18" i="2"/>
  <c r="K18" i="2"/>
  <c r="A19" i="2"/>
  <c r="B19" i="2"/>
  <c r="C19" i="2"/>
  <c r="D19" i="2"/>
  <c r="E19" i="2"/>
  <c r="H19" i="2"/>
  <c r="I19" i="2"/>
  <c r="J19" i="2"/>
  <c r="K19" i="2"/>
  <c r="A20" i="2"/>
  <c r="B20" i="2"/>
  <c r="I20" i="2" s="1"/>
  <c r="C20" i="2"/>
  <c r="D20" i="2"/>
  <c r="E20" i="2"/>
  <c r="H20" i="2"/>
  <c r="J20" i="2"/>
  <c r="K20" i="2"/>
  <c r="A21" i="2"/>
  <c r="H21" i="2" s="1"/>
  <c r="B21" i="2"/>
  <c r="I21" i="2" s="1"/>
  <c r="C21" i="2"/>
  <c r="D21" i="2"/>
  <c r="E21" i="2"/>
  <c r="J21" i="2"/>
  <c r="K21" i="2"/>
  <c r="A22" i="2"/>
  <c r="B22" i="2"/>
  <c r="I22" i="2" s="1"/>
  <c r="C22" i="2"/>
  <c r="D22" i="2"/>
  <c r="E22" i="2"/>
  <c r="H22" i="2"/>
  <c r="J22" i="2"/>
  <c r="K22" i="2"/>
  <c r="A23" i="2"/>
  <c r="B23" i="2"/>
  <c r="C23" i="2"/>
  <c r="D23" i="2"/>
  <c r="E23" i="2"/>
  <c r="H23" i="2"/>
  <c r="I23" i="2"/>
  <c r="J23" i="2"/>
  <c r="K23" i="2"/>
  <c r="A24" i="2"/>
  <c r="B24" i="2"/>
  <c r="I24" i="2" s="1"/>
  <c r="C24" i="2"/>
  <c r="D24" i="2"/>
  <c r="E24" i="2"/>
  <c r="H24" i="2"/>
  <c r="J24" i="2"/>
  <c r="K24" i="2"/>
  <c r="A25" i="2"/>
  <c r="H25" i="2" s="1"/>
  <c r="B25" i="2"/>
  <c r="I25" i="2" s="1"/>
  <c r="C25" i="2"/>
  <c r="D25" i="2"/>
  <c r="E25" i="2"/>
  <c r="J25" i="2"/>
  <c r="K25" i="2"/>
  <c r="A26" i="2"/>
  <c r="B26" i="2"/>
  <c r="I26" i="2" s="1"/>
  <c r="C26" i="2"/>
  <c r="D26" i="2"/>
  <c r="E26" i="2"/>
  <c r="H26" i="2"/>
  <c r="J26" i="2"/>
  <c r="K26" i="2"/>
  <c r="A27" i="2"/>
  <c r="B27" i="2"/>
  <c r="C27" i="2"/>
  <c r="D27" i="2"/>
  <c r="E27" i="2"/>
  <c r="H27" i="2"/>
  <c r="I27" i="2"/>
  <c r="J27" i="2"/>
  <c r="K27" i="2"/>
  <c r="A28" i="2"/>
  <c r="B28" i="2"/>
  <c r="I28" i="2" s="1"/>
  <c r="C28" i="2"/>
  <c r="D28" i="2"/>
  <c r="E28" i="2"/>
  <c r="H28" i="2"/>
  <c r="J28" i="2"/>
  <c r="K28" i="2"/>
  <c r="A29" i="2"/>
  <c r="H29" i="2" s="1"/>
  <c r="B29" i="2"/>
  <c r="I29" i="2" s="1"/>
  <c r="C29" i="2"/>
  <c r="D29" i="2"/>
  <c r="E29" i="2"/>
  <c r="J29" i="2"/>
  <c r="K29" i="2"/>
  <c r="A30" i="2"/>
  <c r="B30" i="2"/>
  <c r="I30" i="2" s="1"/>
  <c r="C30" i="2"/>
  <c r="D30" i="2"/>
  <c r="E30" i="2"/>
  <c r="H30" i="2"/>
  <c r="J30" i="2"/>
  <c r="K30" i="2"/>
  <c r="A31" i="2"/>
  <c r="B31" i="2"/>
  <c r="C31" i="2"/>
  <c r="D31" i="2"/>
  <c r="E31" i="2"/>
  <c r="H31" i="2"/>
  <c r="I31" i="2"/>
  <c r="J31" i="2"/>
  <c r="K31" i="2"/>
  <c r="A32" i="2"/>
  <c r="B32" i="2"/>
  <c r="I32" i="2" s="1"/>
  <c r="C32" i="2"/>
  <c r="D32" i="2"/>
  <c r="E32" i="2"/>
  <c r="H32" i="2"/>
  <c r="J32" i="2"/>
  <c r="K32" i="2"/>
  <c r="A33" i="2"/>
  <c r="H33" i="2" s="1"/>
  <c r="B33" i="2"/>
  <c r="I33" i="2" s="1"/>
  <c r="C33" i="2"/>
  <c r="D33" i="2"/>
  <c r="E33" i="2"/>
  <c r="J33" i="2"/>
  <c r="K33" i="2"/>
  <c r="A34" i="2"/>
  <c r="B34" i="2"/>
  <c r="I34" i="2" s="1"/>
  <c r="C34" i="2"/>
  <c r="D34" i="2"/>
  <c r="E34" i="2"/>
  <c r="H34" i="2"/>
  <c r="J34" i="2"/>
  <c r="K34" i="2"/>
  <c r="A35" i="2"/>
  <c r="B35" i="2"/>
  <c r="C35" i="2"/>
  <c r="D35" i="2"/>
  <c r="E35" i="2"/>
  <c r="H35" i="2"/>
  <c r="I35" i="2"/>
  <c r="J35" i="2"/>
  <c r="K35" i="2"/>
  <c r="A36" i="2"/>
  <c r="B36" i="2"/>
  <c r="I36" i="2" s="1"/>
  <c r="C36" i="2"/>
  <c r="D36" i="2"/>
  <c r="E36" i="2"/>
  <c r="H36" i="2"/>
  <c r="J36" i="2"/>
  <c r="K36" i="2"/>
  <c r="A37" i="2"/>
  <c r="H37" i="2" s="1"/>
  <c r="B37" i="2"/>
  <c r="I37" i="2" s="1"/>
  <c r="C37" i="2"/>
  <c r="D37" i="2"/>
  <c r="E37" i="2"/>
  <c r="J37" i="2"/>
  <c r="K37" i="2"/>
  <c r="A38" i="2"/>
  <c r="B38" i="2"/>
  <c r="I38" i="2" s="1"/>
  <c r="C38" i="2"/>
  <c r="D38" i="2"/>
  <c r="E38" i="2"/>
  <c r="H38" i="2"/>
  <c r="J38" i="2"/>
  <c r="K38" i="2"/>
  <c r="A39" i="2"/>
  <c r="B39" i="2"/>
  <c r="C39" i="2"/>
  <c r="D39" i="2"/>
  <c r="E39" i="2"/>
  <c r="H39" i="2"/>
  <c r="I39" i="2"/>
  <c r="J39" i="2"/>
  <c r="K39" i="2"/>
  <c r="A40" i="2"/>
  <c r="B40" i="2"/>
  <c r="I40" i="2" s="1"/>
  <c r="C40" i="2"/>
  <c r="D40" i="2"/>
  <c r="E40" i="2"/>
  <c r="H40" i="2"/>
  <c r="J40" i="2"/>
  <c r="K40" i="2"/>
  <c r="A41" i="2"/>
  <c r="H41" i="2" s="1"/>
  <c r="B41" i="2"/>
  <c r="I41" i="2" s="1"/>
  <c r="C41" i="2"/>
  <c r="D41" i="2"/>
  <c r="E41" i="2"/>
  <c r="J41" i="2"/>
  <c r="K41" i="2"/>
  <c r="A42" i="2"/>
  <c r="B42" i="2"/>
  <c r="I42" i="2" s="1"/>
  <c r="C42" i="2"/>
  <c r="D42" i="2"/>
  <c r="E42" i="2"/>
  <c r="H42" i="2"/>
  <c r="J42" i="2"/>
  <c r="K42" i="2"/>
  <c r="A43" i="2"/>
  <c r="B43" i="2"/>
  <c r="C43" i="2"/>
  <c r="D43" i="2"/>
  <c r="E43" i="2"/>
  <c r="H43" i="2"/>
  <c r="I43" i="2"/>
  <c r="J43" i="2"/>
  <c r="K43" i="2"/>
  <c r="A44" i="2"/>
  <c r="B44" i="2"/>
  <c r="I44" i="2" s="1"/>
  <c r="C44" i="2"/>
  <c r="D44" i="2"/>
  <c r="E44" i="2"/>
  <c r="H44" i="2"/>
  <c r="J44" i="2"/>
  <c r="K44" i="2"/>
  <c r="A45" i="2"/>
  <c r="H45" i="2" s="1"/>
  <c r="B45" i="2"/>
  <c r="I45" i="2" s="1"/>
  <c r="C45" i="2"/>
  <c r="D45" i="2"/>
  <c r="E45" i="2"/>
  <c r="J45" i="2"/>
  <c r="K45" i="2"/>
  <c r="A46" i="2"/>
  <c r="B46" i="2"/>
  <c r="I46" i="2" s="1"/>
  <c r="C46" i="2"/>
  <c r="D46" i="2"/>
  <c r="E46" i="2"/>
  <c r="H46" i="2"/>
  <c r="J46" i="2"/>
  <c r="K46" i="2"/>
  <c r="A47" i="2"/>
  <c r="B47" i="2"/>
  <c r="C47" i="2"/>
  <c r="D47" i="2"/>
  <c r="E47" i="2"/>
  <c r="H47" i="2"/>
  <c r="I47" i="2"/>
  <c r="J47" i="2"/>
  <c r="K47" i="2"/>
  <c r="A48" i="2"/>
  <c r="B48" i="2"/>
  <c r="I48" i="2" s="1"/>
  <c r="C48" i="2"/>
  <c r="D48" i="2"/>
  <c r="E48" i="2"/>
  <c r="H48" i="2"/>
  <c r="J48" i="2"/>
  <c r="K48" i="2"/>
  <c r="A49" i="2"/>
  <c r="H49" i="2" s="1"/>
  <c r="B49" i="2"/>
  <c r="I49" i="2" s="1"/>
  <c r="C49" i="2"/>
  <c r="D49" i="2"/>
  <c r="E49" i="2"/>
  <c r="J49" i="2"/>
  <c r="K49" i="2"/>
  <c r="A50" i="2"/>
  <c r="B50" i="2"/>
  <c r="I50" i="2" s="1"/>
  <c r="C50" i="2"/>
  <c r="D50" i="2"/>
  <c r="E50" i="2"/>
  <c r="H50" i="2"/>
  <c r="J50" i="2"/>
  <c r="K50" i="2"/>
  <c r="A51" i="2"/>
  <c r="B51" i="2"/>
  <c r="C51" i="2"/>
  <c r="D51" i="2"/>
  <c r="E51" i="2"/>
  <c r="H51" i="2"/>
  <c r="I51" i="2"/>
  <c r="J51" i="2"/>
  <c r="K51" i="2"/>
  <c r="A52" i="2"/>
  <c r="B52" i="2"/>
  <c r="I52" i="2" s="1"/>
  <c r="C52" i="2"/>
  <c r="D52" i="2"/>
  <c r="E52" i="2"/>
  <c r="H52" i="2"/>
  <c r="J52" i="2"/>
  <c r="K52" i="2"/>
  <c r="A53" i="2"/>
  <c r="H53" i="2" s="1"/>
  <c r="B53" i="2"/>
  <c r="I53" i="2" s="1"/>
  <c r="C53" i="2"/>
  <c r="D53" i="2"/>
  <c r="E53" i="2"/>
  <c r="J53" i="2"/>
  <c r="K53" i="2"/>
  <c r="A54" i="2"/>
  <c r="B54" i="2"/>
  <c r="I54" i="2" s="1"/>
  <c r="C54" i="2"/>
  <c r="D54" i="2"/>
  <c r="E54" i="2"/>
  <c r="H54" i="2"/>
  <c r="J54" i="2"/>
  <c r="K54" i="2"/>
  <c r="A55" i="2"/>
  <c r="B55" i="2"/>
  <c r="C55" i="2"/>
  <c r="D55" i="2"/>
  <c r="E55" i="2"/>
  <c r="H55" i="2"/>
  <c r="I55" i="2"/>
  <c r="J55" i="2"/>
  <c r="K55" i="2"/>
  <c r="A56" i="2"/>
  <c r="B56" i="2"/>
  <c r="I56" i="2" s="1"/>
  <c r="C56" i="2"/>
  <c r="D56" i="2"/>
  <c r="E56" i="2"/>
  <c r="H56" i="2"/>
  <c r="J56" i="2"/>
  <c r="K56" i="2"/>
  <c r="A57" i="2"/>
  <c r="H57" i="2" s="1"/>
  <c r="B57" i="2"/>
  <c r="I57" i="2" s="1"/>
  <c r="C57" i="2"/>
  <c r="D57" i="2"/>
  <c r="E57" i="2"/>
  <c r="J57" i="2"/>
  <c r="K57" i="2"/>
  <c r="A58" i="2"/>
  <c r="B58" i="2"/>
  <c r="I58" i="2" s="1"/>
  <c r="C58" i="2"/>
  <c r="D58" i="2"/>
  <c r="E58" i="2"/>
  <c r="H58" i="2"/>
  <c r="J58" i="2"/>
  <c r="K58" i="2"/>
  <c r="A59" i="2"/>
  <c r="B59" i="2"/>
  <c r="C59" i="2"/>
  <c r="D59" i="2"/>
  <c r="E59" i="2"/>
  <c r="H59" i="2"/>
  <c r="I59" i="2"/>
  <c r="J59" i="2"/>
  <c r="K59" i="2"/>
  <c r="A60" i="2"/>
  <c r="B60" i="2"/>
  <c r="I60" i="2" s="1"/>
  <c r="C60" i="2"/>
  <c r="D60" i="2"/>
  <c r="E60" i="2"/>
  <c r="H60" i="2"/>
  <c r="J60" i="2"/>
  <c r="K60" i="2"/>
  <c r="A61" i="2"/>
  <c r="H61" i="2" s="1"/>
  <c r="B61" i="2"/>
  <c r="I61" i="2" s="1"/>
  <c r="C61" i="2"/>
  <c r="D61" i="2"/>
  <c r="E61" i="2"/>
  <c r="J61" i="2"/>
  <c r="K61" i="2"/>
  <c r="A62" i="2"/>
  <c r="B62" i="2"/>
  <c r="I62" i="2" s="1"/>
  <c r="C62" i="2"/>
  <c r="D62" i="2"/>
  <c r="E62" i="2"/>
  <c r="H62" i="2"/>
  <c r="J62" i="2"/>
  <c r="K62" i="2"/>
  <c r="A63" i="2"/>
  <c r="B63" i="2"/>
  <c r="C63" i="2"/>
  <c r="D63" i="2"/>
  <c r="E63" i="2"/>
  <c r="H63" i="2"/>
  <c r="I63" i="2"/>
  <c r="J63" i="2"/>
  <c r="K63" i="2"/>
  <c r="A64" i="2"/>
  <c r="B64" i="2"/>
  <c r="I64" i="2" s="1"/>
  <c r="C64" i="2"/>
  <c r="D64" i="2"/>
  <c r="E64" i="2"/>
  <c r="H64" i="2"/>
  <c r="J64" i="2"/>
  <c r="K64" i="2"/>
  <c r="A65" i="2"/>
  <c r="H65" i="2" s="1"/>
  <c r="B65" i="2"/>
  <c r="I65" i="2" s="1"/>
  <c r="C65" i="2"/>
  <c r="D65" i="2"/>
  <c r="E65" i="2"/>
  <c r="J65" i="2"/>
  <c r="K65" i="2"/>
  <c r="A66" i="2"/>
  <c r="B66" i="2"/>
  <c r="I66" i="2" s="1"/>
  <c r="C66" i="2"/>
  <c r="D66" i="2"/>
  <c r="E66" i="2"/>
  <c r="H66" i="2"/>
  <c r="J66" i="2"/>
  <c r="K66" i="2"/>
  <c r="A67" i="2"/>
  <c r="B67" i="2"/>
  <c r="C67" i="2"/>
  <c r="D67" i="2"/>
  <c r="E67" i="2"/>
  <c r="H67" i="2"/>
  <c r="I67" i="2"/>
  <c r="J67" i="2"/>
  <c r="K67" i="2"/>
  <c r="A68" i="2"/>
  <c r="B68" i="2"/>
  <c r="I68" i="2" s="1"/>
  <c r="C68" i="2"/>
  <c r="D68" i="2"/>
  <c r="E68" i="2"/>
  <c r="H68" i="2"/>
  <c r="J68" i="2"/>
  <c r="K68" i="2"/>
  <c r="A69" i="2"/>
  <c r="H69" i="2" s="1"/>
  <c r="B69" i="2"/>
  <c r="I69" i="2" s="1"/>
  <c r="C69" i="2"/>
  <c r="D69" i="2"/>
  <c r="E69" i="2"/>
  <c r="J69" i="2"/>
  <c r="K69" i="2"/>
  <c r="A70" i="2"/>
  <c r="B70" i="2"/>
  <c r="I70" i="2" s="1"/>
  <c r="C70" i="2"/>
  <c r="D70" i="2"/>
  <c r="E70" i="2"/>
  <c r="H70" i="2"/>
  <c r="J70" i="2"/>
  <c r="K70" i="2"/>
  <c r="A71" i="2"/>
  <c r="B71" i="2"/>
  <c r="C71" i="2"/>
  <c r="D71" i="2"/>
  <c r="E71" i="2"/>
  <c r="H71" i="2"/>
  <c r="I71" i="2"/>
  <c r="J71" i="2"/>
  <c r="K71" i="2"/>
  <c r="A72" i="2"/>
  <c r="B72" i="2"/>
  <c r="I72" i="2" s="1"/>
  <c r="C72" i="2"/>
  <c r="D72" i="2"/>
  <c r="E72" i="2"/>
  <c r="H72" i="2"/>
  <c r="J72" i="2"/>
  <c r="K72" i="2"/>
  <c r="A73" i="2"/>
  <c r="H73" i="2" s="1"/>
  <c r="B73" i="2"/>
  <c r="I73" i="2" s="1"/>
  <c r="C73" i="2"/>
  <c r="D73" i="2"/>
  <c r="E73" i="2"/>
  <c r="J73" i="2"/>
  <c r="K73" i="2"/>
  <c r="A74" i="2"/>
  <c r="B74" i="2"/>
  <c r="I74" i="2" s="1"/>
  <c r="C74" i="2"/>
  <c r="D74" i="2"/>
  <c r="E74" i="2"/>
  <c r="H74" i="2"/>
  <c r="J74" i="2"/>
  <c r="K74" i="2"/>
  <c r="A75" i="2"/>
  <c r="B75" i="2"/>
  <c r="C75" i="2"/>
  <c r="D75" i="2"/>
  <c r="E75" i="2"/>
  <c r="H75" i="2"/>
  <c r="I75" i="2"/>
  <c r="J75" i="2"/>
  <c r="K75" i="2"/>
  <c r="A76" i="2"/>
  <c r="B76" i="2"/>
  <c r="I76" i="2" s="1"/>
  <c r="C76" i="2"/>
  <c r="D76" i="2"/>
  <c r="E76" i="2"/>
  <c r="H76" i="2"/>
  <c r="J76" i="2"/>
  <c r="K76" i="2"/>
  <c r="A77" i="2"/>
  <c r="H77" i="2" s="1"/>
  <c r="B77" i="2"/>
  <c r="I77" i="2" s="1"/>
  <c r="C77" i="2"/>
  <c r="D77" i="2"/>
  <c r="E77" i="2"/>
  <c r="J77" i="2"/>
  <c r="K77" i="2"/>
  <c r="A78" i="2"/>
  <c r="B78" i="2"/>
  <c r="I78" i="2" s="1"/>
  <c r="C78" i="2"/>
  <c r="D78" i="2"/>
  <c r="E78" i="2"/>
  <c r="H78" i="2"/>
  <c r="J78" i="2"/>
  <c r="K78" i="2"/>
  <c r="A79" i="2"/>
  <c r="B79" i="2"/>
  <c r="C79" i="2"/>
  <c r="D79" i="2"/>
  <c r="E79" i="2"/>
  <c r="H79" i="2"/>
  <c r="I79" i="2"/>
  <c r="J79" i="2"/>
  <c r="K79" i="2"/>
  <c r="A80" i="2"/>
  <c r="B80" i="2"/>
  <c r="I80" i="2" s="1"/>
  <c r="C80" i="2"/>
  <c r="D80" i="2"/>
  <c r="E80" i="2"/>
  <c r="H80" i="2"/>
  <c r="J80" i="2"/>
  <c r="K80" i="2"/>
  <c r="A81" i="2"/>
  <c r="H81" i="2" s="1"/>
  <c r="B81" i="2"/>
  <c r="I81" i="2" s="1"/>
  <c r="C81" i="2"/>
  <c r="D81" i="2"/>
  <c r="E81" i="2"/>
  <c r="J81" i="2"/>
  <c r="K81" i="2"/>
  <c r="A82" i="2"/>
  <c r="B82" i="2"/>
  <c r="I82" i="2" s="1"/>
  <c r="C82" i="2"/>
  <c r="D82" i="2"/>
  <c r="E82" i="2"/>
  <c r="H82" i="2"/>
  <c r="J82" i="2"/>
  <c r="K82" i="2"/>
  <c r="A83" i="2"/>
  <c r="B83" i="2"/>
  <c r="C83" i="2"/>
  <c r="D83" i="2"/>
  <c r="E83" i="2"/>
  <c r="H83" i="2"/>
  <c r="I83" i="2"/>
  <c r="J83" i="2"/>
  <c r="K83" i="2"/>
  <c r="A84" i="2"/>
  <c r="B84" i="2"/>
  <c r="I84" i="2" s="1"/>
  <c r="C84" i="2"/>
  <c r="D84" i="2"/>
  <c r="E84" i="2"/>
  <c r="H84" i="2"/>
  <c r="J84" i="2"/>
  <c r="K84" i="2"/>
  <c r="A85" i="2"/>
  <c r="H85" i="2" s="1"/>
  <c r="B85" i="2"/>
  <c r="I85" i="2" s="1"/>
  <c r="C85" i="2"/>
  <c r="D85" i="2"/>
  <c r="E85" i="2"/>
  <c r="J85" i="2"/>
  <c r="K85" i="2"/>
  <c r="A86" i="2"/>
  <c r="B86" i="2"/>
  <c r="I86" i="2" s="1"/>
  <c r="C86" i="2"/>
  <c r="D86" i="2"/>
  <c r="E86" i="2"/>
  <c r="H86" i="2"/>
  <c r="J86" i="2"/>
  <c r="K86" i="2"/>
  <c r="A87" i="2"/>
  <c r="B87" i="2"/>
  <c r="I87" i="2" s="1"/>
  <c r="C87" i="2"/>
  <c r="D87" i="2"/>
  <c r="E87" i="2"/>
  <c r="H87" i="2"/>
  <c r="J87" i="2"/>
  <c r="K87" i="2"/>
  <c r="A88" i="2"/>
  <c r="B88" i="2"/>
  <c r="I88" i="2" s="1"/>
  <c r="C88" i="2"/>
  <c r="D88" i="2"/>
  <c r="E88" i="2"/>
  <c r="H88" i="2"/>
  <c r="J88" i="2"/>
  <c r="K88" i="2"/>
  <c r="A89" i="2"/>
  <c r="H89" i="2" s="1"/>
  <c r="B89" i="2"/>
  <c r="I89" i="2" s="1"/>
  <c r="C89" i="2"/>
  <c r="D89" i="2"/>
  <c r="E89" i="2"/>
  <c r="J89" i="2"/>
  <c r="K89" i="2"/>
  <c r="A90" i="2"/>
  <c r="B90" i="2"/>
  <c r="I90" i="2" s="1"/>
  <c r="C90" i="2"/>
  <c r="D90" i="2"/>
  <c r="E90" i="2"/>
  <c r="H90" i="2"/>
  <c r="J90" i="2"/>
  <c r="K90" i="2"/>
  <c r="A91" i="2"/>
  <c r="B91" i="2"/>
  <c r="I91" i="2" s="1"/>
  <c r="C91" i="2"/>
  <c r="D91" i="2"/>
  <c r="E91" i="2"/>
  <c r="H91" i="2"/>
  <c r="J91" i="2"/>
  <c r="K91" i="2"/>
  <c r="A92" i="2"/>
  <c r="B92" i="2"/>
  <c r="I92" i="2" s="1"/>
  <c r="C92" i="2"/>
  <c r="D92" i="2"/>
  <c r="E92" i="2"/>
  <c r="H92" i="2"/>
  <c r="J92" i="2"/>
  <c r="K92" i="2"/>
  <c r="A93" i="2"/>
  <c r="H93" i="2" s="1"/>
  <c r="B93" i="2"/>
  <c r="I93" i="2" s="1"/>
  <c r="C93" i="2"/>
  <c r="D93" i="2"/>
  <c r="E93" i="2"/>
  <c r="J93" i="2"/>
  <c r="K93" i="2"/>
  <c r="A94" i="2"/>
  <c r="B94" i="2"/>
  <c r="I94" i="2" s="1"/>
  <c r="C94" i="2"/>
  <c r="D94" i="2"/>
  <c r="E94" i="2"/>
  <c r="H94" i="2"/>
  <c r="J94" i="2"/>
  <c r="K94" i="2"/>
  <c r="A95" i="2"/>
  <c r="B95" i="2"/>
  <c r="I95" i="2" s="1"/>
  <c r="C95" i="2"/>
  <c r="D95" i="2"/>
  <c r="E95" i="2"/>
  <c r="H95" i="2"/>
  <c r="J95" i="2"/>
  <c r="K95" i="2"/>
  <c r="A96" i="2"/>
  <c r="B96" i="2"/>
  <c r="I96" i="2" s="1"/>
  <c r="C96" i="2"/>
  <c r="D96" i="2"/>
  <c r="E96" i="2"/>
  <c r="H96" i="2"/>
  <c r="J96" i="2"/>
  <c r="K96" i="2"/>
  <c r="A97" i="2"/>
  <c r="H97" i="2" s="1"/>
  <c r="B97" i="2"/>
  <c r="I97" i="2" s="1"/>
  <c r="C97" i="2"/>
  <c r="D97" i="2"/>
  <c r="E97" i="2"/>
  <c r="J97" i="2"/>
  <c r="K97" i="2"/>
  <c r="A98" i="2"/>
  <c r="B98" i="2"/>
  <c r="I98" i="2" s="1"/>
  <c r="C98" i="2"/>
  <c r="D98" i="2"/>
  <c r="E98" i="2"/>
  <c r="H98" i="2"/>
  <c r="J98" i="2"/>
  <c r="K98" i="2"/>
  <c r="A99" i="2"/>
  <c r="B99" i="2"/>
  <c r="I99" i="2" s="1"/>
  <c r="C99" i="2"/>
  <c r="D99" i="2"/>
  <c r="E99" i="2"/>
  <c r="H99" i="2"/>
  <c r="J99" i="2"/>
  <c r="K99" i="2"/>
  <c r="A100" i="2"/>
  <c r="B100" i="2"/>
  <c r="I100" i="2" s="1"/>
  <c r="C100" i="2"/>
  <c r="D100" i="2"/>
  <c r="E100" i="2"/>
  <c r="H100" i="2"/>
  <c r="J100" i="2"/>
  <c r="K100" i="2"/>
  <c r="A101" i="2"/>
  <c r="H101" i="2" s="1"/>
  <c r="B101" i="2"/>
  <c r="I101" i="2" s="1"/>
  <c r="C101" i="2"/>
  <c r="D101" i="2"/>
  <c r="E101" i="2"/>
  <c r="J101" i="2"/>
  <c r="K101" i="2"/>
  <c r="A102" i="2"/>
  <c r="B102" i="2"/>
  <c r="I102" i="2" s="1"/>
  <c r="C102" i="2"/>
  <c r="D102" i="2"/>
  <c r="E102" i="2"/>
  <c r="H102" i="2"/>
  <c r="J102" i="2"/>
  <c r="K102" i="2"/>
  <c r="A103" i="2"/>
  <c r="B103" i="2"/>
  <c r="I103" i="2" s="1"/>
  <c r="C103" i="2"/>
  <c r="D103" i="2"/>
  <c r="E103" i="2"/>
  <c r="H103" i="2"/>
  <c r="J103" i="2"/>
  <c r="K103" i="2"/>
  <c r="A104" i="2"/>
  <c r="B104" i="2"/>
  <c r="I104" i="2" s="1"/>
  <c r="C104" i="2"/>
  <c r="D104" i="2"/>
  <c r="E104" i="2"/>
  <c r="H104" i="2"/>
  <c r="J104" i="2"/>
  <c r="K104" i="2"/>
  <c r="A105" i="2"/>
  <c r="H105" i="2" s="1"/>
  <c r="B105" i="2"/>
  <c r="I105" i="2" s="1"/>
  <c r="C105" i="2"/>
  <c r="D105" i="2"/>
  <c r="E105" i="2"/>
  <c r="J105" i="2"/>
  <c r="K105" i="2"/>
  <c r="A106" i="2"/>
  <c r="B106" i="2"/>
  <c r="I106" i="2" s="1"/>
  <c r="C106" i="2"/>
  <c r="D106" i="2"/>
  <c r="E106" i="2"/>
  <c r="H106" i="2"/>
  <c r="J106" i="2"/>
  <c r="K106" i="2"/>
  <c r="A107" i="2"/>
  <c r="B107" i="2"/>
  <c r="I107" i="2" s="1"/>
  <c r="C107" i="2"/>
  <c r="D107" i="2"/>
  <c r="E107" i="2"/>
  <c r="H107" i="2"/>
  <c r="J107" i="2"/>
  <c r="K107" i="2"/>
  <c r="A108" i="2"/>
  <c r="B108" i="2"/>
  <c r="I108" i="2" s="1"/>
  <c r="C108" i="2"/>
  <c r="D108" i="2"/>
  <c r="E108" i="2"/>
  <c r="H108" i="2"/>
  <c r="J108" i="2"/>
  <c r="K108" i="2"/>
  <c r="A109" i="2"/>
  <c r="H109" i="2" s="1"/>
  <c r="B109" i="2"/>
  <c r="I109" i="2" s="1"/>
  <c r="C109" i="2"/>
  <c r="D109" i="2"/>
  <c r="E109" i="2"/>
  <c r="J109" i="2"/>
  <c r="K109" i="2"/>
  <c r="A110" i="2"/>
  <c r="B110" i="2"/>
  <c r="I110" i="2" s="1"/>
  <c r="C110" i="2"/>
  <c r="D110" i="2"/>
  <c r="E110" i="2"/>
  <c r="H110" i="2"/>
  <c r="J110" i="2"/>
  <c r="K110" i="2"/>
  <c r="A111" i="2"/>
  <c r="B111" i="2"/>
  <c r="I111" i="2" s="1"/>
  <c r="C111" i="2"/>
  <c r="D111" i="2"/>
  <c r="E111" i="2"/>
  <c r="H111" i="2"/>
  <c r="J111" i="2"/>
  <c r="K111" i="2"/>
  <c r="A112" i="2"/>
  <c r="B112" i="2"/>
  <c r="I112" i="2" s="1"/>
  <c r="C112" i="2"/>
  <c r="D112" i="2"/>
  <c r="E112" i="2"/>
  <c r="H112" i="2"/>
  <c r="J112" i="2"/>
  <c r="K112" i="2"/>
  <c r="A113" i="2"/>
  <c r="H113" i="2" s="1"/>
  <c r="B113" i="2"/>
  <c r="I113" i="2" s="1"/>
  <c r="C113" i="2"/>
  <c r="D113" i="2"/>
  <c r="E113" i="2"/>
  <c r="J113" i="2"/>
  <c r="K113" i="2"/>
  <c r="A114" i="2"/>
  <c r="B114" i="2"/>
  <c r="I114" i="2" s="1"/>
  <c r="C114" i="2"/>
  <c r="D114" i="2"/>
  <c r="E114" i="2"/>
  <c r="H114" i="2"/>
  <c r="J114" i="2"/>
  <c r="K114" i="2"/>
  <c r="A115" i="2"/>
  <c r="B115" i="2"/>
  <c r="I115" i="2" s="1"/>
  <c r="C115" i="2"/>
  <c r="D115" i="2"/>
  <c r="E115" i="2"/>
  <c r="H115" i="2"/>
  <c r="J115" i="2"/>
  <c r="K115" i="2"/>
  <c r="A116" i="2"/>
  <c r="B116" i="2"/>
  <c r="I116" i="2" s="1"/>
  <c r="C116" i="2"/>
  <c r="D116" i="2"/>
  <c r="E116" i="2"/>
  <c r="H116" i="2"/>
  <c r="J116" i="2"/>
  <c r="K116" i="2"/>
  <c r="A117" i="2"/>
  <c r="H117" i="2" s="1"/>
  <c r="B117" i="2"/>
  <c r="I117" i="2" s="1"/>
  <c r="C117" i="2"/>
  <c r="D117" i="2"/>
  <c r="E117" i="2"/>
  <c r="J117" i="2"/>
  <c r="K117" i="2"/>
  <c r="A118" i="2"/>
  <c r="B118" i="2"/>
  <c r="I118" i="2" s="1"/>
  <c r="C118" i="2"/>
  <c r="D118" i="2"/>
  <c r="E118" i="2"/>
  <c r="H118" i="2"/>
  <c r="J118" i="2"/>
  <c r="K118" i="2"/>
  <c r="A119" i="2"/>
  <c r="B119" i="2"/>
  <c r="I119" i="2" s="1"/>
  <c r="C119" i="2"/>
  <c r="D119" i="2"/>
  <c r="E119" i="2"/>
  <c r="H119" i="2"/>
  <c r="J119" i="2"/>
  <c r="K119" i="2"/>
  <c r="A120" i="2"/>
  <c r="B120" i="2"/>
  <c r="I120" i="2" s="1"/>
  <c r="C120" i="2"/>
  <c r="D120" i="2"/>
  <c r="E120" i="2"/>
  <c r="H120" i="2"/>
  <c r="J120" i="2"/>
  <c r="K120" i="2"/>
  <c r="A121" i="2"/>
  <c r="H121" i="2" s="1"/>
  <c r="B121" i="2"/>
  <c r="I121" i="2" s="1"/>
  <c r="C121" i="2"/>
  <c r="D121" i="2"/>
  <c r="E121" i="2"/>
  <c r="J121" i="2"/>
  <c r="K121" i="2"/>
  <c r="A122" i="2"/>
  <c r="B122" i="2"/>
  <c r="I122" i="2" s="1"/>
  <c r="C122" i="2"/>
  <c r="D122" i="2"/>
  <c r="E122" i="2"/>
  <c r="H122" i="2"/>
  <c r="J122" i="2"/>
  <c r="K122" i="2"/>
  <c r="A123" i="2"/>
  <c r="B123" i="2"/>
  <c r="I123" i="2" s="1"/>
  <c r="C123" i="2"/>
  <c r="D123" i="2"/>
  <c r="E123" i="2"/>
  <c r="H123" i="2"/>
  <c r="J123" i="2"/>
  <c r="K123" i="2"/>
  <c r="A124" i="2"/>
  <c r="B124" i="2"/>
  <c r="I124" i="2" s="1"/>
  <c r="C124" i="2"/>
  <c r="D124" i="2"/>
  <c r="E124" i="2"/>
  <c r="H124" i="2"/>
  <c r="J124" i="2"/>
  <c r="K124" i="2"/>
  <c r="A125" i="2"/>
  <c r="H125" i="2" s="1"/>
  <c r="B125" i="2"/>
  <c r="I125" i="2" s="1"/>
  <c r="C125" i="2"/>
  <c r="D125" i="2"/>
  <c r="E125" i="2"/>
  <c r="J125" i="2"/>
  <c r="K125" i="2"/>
  <c r="A126" i="2"/>
  <c r="B126" i="2"/>
  <c r="I126" i="2" s="1"/>
  <c r="C126" i="2"/>
  <c r="D126" i="2"/>
  <c r="E126" i="2"/>
  <c r="H126" i="2"/>
  <c r="J126" i="2"/>
  <c r="K126" i="2"/>
  <c r="A127" i="2"/>
  <c r="B127" i="2"/>
  <c r="I127" i="2" s="1"/>
  <c r="C127" i="2"/>
  <c r="D127" i="2"/>
  <c r="E127" i="2"/>
  <c r="H127" i="2"/>
  <c r="J127" i="2"/>
  <c r="K127" i="2"/>
  <c r="A128" i="2"/>
  <c r="B128" i="2"/>
  <c r="I128" i="2" s="1"/>
  <c r="C128" i="2"/>
  <c r="D128" i="2"/>
  <c r="E128" i="2"/>
  <c r="H128" i="2"/>
  <c r="J128" i="2"/>
  <c r="K128" i="2"/>
  <c r="A129" i="2"/>
  <c r="H129" i="2" s="1"/>
  <c r="B129" i="2"/>
  <c r="I129" i="2" s="1"/>
  <c r="C129" i="2"/>
  <c r="D129" i="2"/>
  <c r="E129" i="2"/>
  <c r="J129" i="2"/>
  <c r="K129" i="2"/>
  <c r="A130" i="2"/>
  <c r="B130" i="2"/>
  <c r="I130" i="2" s="1"/>
  <c r="C130" i="2"/>
  <c r="D130" i="2"/>
  <c r="E130" i="2"/>
  <c r="H130" i="2"/>
  <c r="J130" i="2"/>
  <c r="K130" i="2"/>
  <c r="A131" i="2"/>
  <c r="B131" i="2"/>
  <c r="I131" i="2" s="1"/>
  <c r="C131" i="2"/>
  <c r="D131" i="2"/>
  <c r="E131" i="2"/>
  <c r="H131" i="2"/>
  <c r="J131" i="2"/>
  <c r="K131" i="2"/>
  <c r="A132" i="2"/>
  <c r="B132" i="2"/>
  <c r="I132" i="2" s="1"/>
  <c r="C132" i="2"/>
  <c r="D132" i="2"/>
  <c r="E132" i="2"/>
  <c r="H132" i="2"/>
  <c r="J132" i="2"/>
  <c r="K132" i="2"/>
  <c r="A133" i="2"/>
  <c r="H133" i="2" s="1"/>
  <c r="B133" i="2"/>
  <c r="I133" i="2" s="1"/>
  <c r="C133" i="2"/>
  <c r="D133" i="2"/>
  <c r="E133" i="2"/>
  <c r="J133" i="2"/>
  <c r="K133" i="2"/>
  <c r="A134" i="2"/>
  <c r="B134" i="2"/>
  <c r="I134" i="2" s="1"/>
  <c r="C134" i="2"/>
  <c r="D134" i="2"/>
  <c r="E134" i="2"/>
  <c r="H134" i="2"/>
  <c r="J134" i="2"/>
  <c r="K134" i="2"/>
  <c r="A135" i="2"/>
  <c r="B135" i="2"/>
  <c r="I135" i="2" s="1"/>
  <c r="C135" i="2"/>
  <c r="D135" i="2"/>
  <c r="E135" i="2"/>
  <c r="H135" i="2"/>
  <c r="J135" i="2"/>
  <c r="K135" i="2"/>
  <c r="A136" i="2"/>
  <c r="B136" i="2"/>
  <c r="I136" i="2" s="1"/>
  <c r="C136" i="2"/>
  <c r="D136" i="2"/>
  <c r="E136" i="2"/>
  <c r="H136" i="2"/>
  <c r="J136" i="2"/>
  <c r="K136" i="2"/>
  <c r="A137" i="2"/>
  <c r="H137" i="2" s="1"/>
  <c r="B137" i="2"/>
  <c r="I137" i="2" s="1"/>
  <c r="C137" i="2"/>
  <c r="D137" i="2"/>
  <c r="E137" i="2"/>
  <c r="J137" i="2"/>
  <c r="K137" i="2"/>
  <c r="A138" i="2"/>
  <c r="B138" i="2"/>
  <c r="I138" i="2" s="1"/>
  <c r="C138" i="2"/>
  <c r="D138" i="2"/>
  <c r="E138" i="2"/>
  <c r="H138" i="2"/>
  <c r="J138" i="2"/>
  <c r="K138" i="2"/>
  <c r="A139" i="2"/>
  <c r="B139" i="2"/>
  <c r="I139" i="2" s="1"/>
  <c r="C139" i="2"/>
  <c r="D139" i="2"/>
  <c r="E139" i="2"/>
  <c r="H139" i="2"/>
  <c r="J139" i="2"/>
  <c r="K139" i="2"/>
  <c r="A140" i="2"/>
  <c r="B140" i="2"/>
  <c r="I140" i="2" s="1"/>
  <c r="C140" i="2"/>
  <c r="D140" i="2"/>
  <c r="E140" i="2"/>
  <c r="H140" i="2"/>
  <c r="J140" i="2"/>
  <c r="K140" i="2"/>
  <c r="A141" i="2"/>
  <c r="H141" i="2" s="1"/>
  <c r="B141" i="2"/>
  <c r="I141" i="2" s="1"/>
  <c r="C141" i="2"/>
  <c r="D141" i="2"/>
  <c r="E141" i="2"/>
  <c r="J141" i="2"/>
  <c r="K141" i="2"/>
  <c r="A142" i="2"/>
  <c r="B142" i="2"/>
  <c r="I142" i="2" s="1"/>
  <c r="C142" i="2"/>
  <c r="D142" i="2"/>
  <c r="E142" i="2"/>
  <c r="H142" i="2"/>
  <c r="J142" i="2"/>
  <c r="K142" i="2"/>
  <c r="A143" i="2"/>
  <c r="B143" i="2"/>
  <c r="I143" i="2" s="1"/>
  <c r="C143" i="2"/>
  <c r="D143" i="2"/>
  <c r="E143" i="2"/>
  <c r="H143" i="2"/>
  <c r="J143" i="2"/>
  <c r="K143" i="2"/>
  <c r="A144" i="2"/>
  <c r="B144" i="2"/>
  <c r="I144" i="2" s="1"/>
  <c r="C144" i="2"/>
  <c r="D144" i="2"/>
  <c r="E144" i="2"/>
  <c r="H144" i="2"/>
  <c r="J144" i="2"/>
  <c r="K144" i="2"/>
  <c r="A145" i="2"/>
  <c r="H145" i="2" s="1"/>
  <c r="B145" i="2"/>
  <c r="I145" i="2" s="1"/>
  <c r="C145" i="2"/>
  <c r="D145" i="2"/>
  <c r="E145" i="2"/>
  <c r="J145" i="2"/>
  <c r="K145" i="2"/>
  <c r="A146" i="2"/>
  <c r="B146" i="2"/>
  <c r="I146" i="2" s="1"/>
  <c r="C146" i="2"/>
  <c r="D146" i="2"/>
  <c r="E146" i="2"/>
  <c r="H146" i="2"/>
  <c r="J146" i="2"/>
  <c r="K146" i="2"/>
  <c r="A147" i="2"/>
  <c r="B147" i="2"/>
  <c r="I147" i="2" s="1"/>
  <c r="C147" i="2"/>
  <c r="D147" i="2"/>
  <c r="E147" i="2"/>
  <c r="H147" i="2"/>
  <c r="J147" i="2"/>
  <c r="K147" i="2"/>
  <c r="A148" i="2"/>
  <c r="B148" i="2"/>
  <c r="I148" i="2" s="1"/>
  <c r="C148" i="2"/>
  <c r="D148" i="2"/>
  <c r="E148" i="2"/>
  <c r="H148" i="2"/>
  <c r="J148" i="2"/>
  <c r="K148" i="2"/>
  <c r="A149" i="2"/>
  <c r="H149" i="2" s="1"/>
  <c r="B149" i="2"/>
  <c r="I149" i="2" s="1"/>
  <c r="C149" i="2"/>
  <c r="D149" i="2"/>
  <c r="E149" i="2"/>
  <c r="J149" i="2"/>
  <c r="K149" i="2"/>
  <c r="A150" i="2"/>
  <c r="B150" i="2"/>
  <c r="I150" i="2" s="1"/>
  <c r="C150" i="2"/>
  <c r="D150" i="2"/>
  <c r="E150" i="2"/>
  <c r="H150" i="2"/>
  <c r="J150" i="2"/>
  <c r="K150" i="2"/>
  <c r="A151" i="2"/>
  <c r="B151" i="2"/>
  <c r="I151" i="2" s="1"/>
  <c r="C151" i="2"/>
  <c r="D151" i="2"/>
  <c r="E151" i="2"/>
  <c r="H151" i="2"/>
  <c r="J151" i="2"/>
  <c r="K151" i="2"/>
  <c r="A152" i="2"/>
  <c r="B152" i="2"/>
  <c r="I152" i="2" s="1"/>
  <c r="C152" i="2"/>
  <c r="D152" i="2"/>
  <c r="E152" i="2"/>
  <c r="H152" i="2"/>
  <c r="J152" i="2"/>
  <c r="K152" i="2"/>
  <c r="A153" i="2"/>
  <c r="H153" i="2" s="1"/>
  <c r="B153" i="2"/>
  <c r="I153" i="2" s="1"/>
  <c r="C153" i="2"/>
  <c r="D153" i="2"/>
  <c r="E153" i="2"/>
  <c r="J153" i="2"/>
  <c r="K153" i="2"/>
  <c r="A154" i="2"/>
  <c r="B154" i="2"/>
  <c r="I154" i="2" s="1"/>
  <c r="C154" i="2"/>
  <c r="D154" i="2"/>
  <c r="E154" i="2"/>
  <c r="H154" i="2"/>
  <c r="J154" i="2"/>
  <c r="K154" i="2"/>
  <c r="A155" i="2"/>
  <c r="B155" i="2"/>
  <c r="I155" i="2" s="1"/>
  <c r="C155" i="2"/>
  <c r="D155" i="2"/>
  <c r="E155" i="2"/>
  <c r="H155" i="2"/>
  <c r="J155" i="2"/>
  <c r="K155" i="2"/>
  <c r="A156" i="2"/>
  <c r="B156" i="2"/>
  <c r="I156" i="2" s="1"/>
  <c r="C156" i="2"/>
  <c r="D156" i="2"/>
  <c r="E156" i="2"/>
  <c r="H156" i="2"/>
  <c r="J156" i="2"/>
  <c r="K156" i="2"/>
  <c r="A157" i="2"/>
  <c r="H157" i="2" s="1"/>
  <c r="B157" i="2"/>
  <c r="I157" i="2" s="1"/>
  <c r="C157" i="2"/>
  <c r="D157" i="2"/>
  <c r="E157" i="2"/>
  <c r="J157" i="2"/>
  <c r="K157" i="2"/>
  <c r="A158" i="2"/>
  <c r="B158" i="2"/>
  <c r="I158" i="2" s="1"/>
  <c r="C158" i="2"/>
  <c r="D158" i="2"/>
  <c r="E158" i="2"/>
  <c r="H158" i="2"/>
  <c r="J158" i="2"/>
  <c r="K158" i="2"/>
  <c r="A159" i="2"/>
  <c r="B159" i="2"/>
  <c r="I159" i="2" s="1"/>
  <c r="C159" i="2"/>
  <c r="D159" i="2"/>
  <c r="E159" i="2"/>
  <c r="H159" i="2"/>
  <c r="J159" i="2"/>
  <c r="K159" i="2"/>
  <c r="A160" i="2"/>
  <c r="B160" i="2"/>
  <c r="I160" i="2" s="1"/>
  <c r="C160" i="2"/>
  <c r="D160" i="2"/>
  <c r="E160" i="2"/>
  <c r="H160" i="2"/>
  <c r="J160" i="2"/>
  <c r="K160" i="2"/>
  <c r="A161" i="2"/>
  <c r="H161" i="2" s="1"/>
  <c r="B161" i="2"/>
  <c r="I161" i="2" s="1"/>
  <c r="C161" i="2"/>
  <c r="D161" i="2"/>
  <c r="E161" i="2"/>
  <c r="J161" i="2"/>
  <c r="K161" i="2"/>
  <c r="A162" i="2"/>
  <c r="B162" i="2"/>
  <c r="I162" i="2" s="1"/>
  <c r="C162" i="2"/>
  <c r="D162" i="2"/>
  <c r="E162" i="2"/>
  <c r="H162" i="2"/>
  <c r="J162" i="2"/>
  <c r="K162" i="2"/>
  <c r="A163" i="2"/>
  <c r="B163" i="2"/>
  <c r="I163" i="2" s="1"/>
  <c r="C163" i="2"/>
  <c r="D163" i="2"/>
  <c r="E163" i="2"/>
  <c r="H163" i="2"/>
  <c r="J163" i="2"/>
  <c r="K163" i="2"/>
  <c r="A164" i="2"/>
  <c r="B164" i="2"/>
  <c r="I164" i="2" s="1"/>
  <c r="C164" i="2"/>
  <c r="D164" i="2"/>
  <c r="E164" i="2"/>
  <c r="H164" i="2"/>
  <c r="J164" i="2"/>
  <c r="K164" i="2"/>
  <c r="A165" i="2"/>
  <c r="H165" i="2" s="1"/>
  <c r="B165" i="2"/>
  <c r="I165" i="2" s="1"/>
  <c r="C165" i="2"/>
  <c r="D165" i="2"/>
  <c r="E165" i="2"/>
  <c r="J165" i="2"/>
  <c r="K165" i="2"/>
  <c r="A166" i="2"/>
  <c r="B166" i="2"/>
  <c r="I166" i="2" s="1"/>
  <c r="C166" i="2"/>
  <c r="D166" i="2"/>
  <c r="E166" i="2"/>
  <c r="H166" i="2"/>
  <c r="J166" i="2"/>
  <c r="K166" i="2"/>
  <c r="A167" i="2"/>
  <c r="B167" i="2"/>
  <c r="I167" i="2" s="1"/>
  <c r="C167" i="2"/>
  <c r="D167" i="2"/>
  <c r="E167" i="2"/>
  <c r="H167" i="2"/>
  <c r="J167" i="2"/>
  <c r="K167" i="2"/>
  <c r="A168" i="2"/>
  <c r="B168" i="2"/>
  <c r="I168" i="2" s="1"/>
  <c r="C168" i="2"/>
  <c r="D168" i="2"/>
  <c r="E168" i="2"/>
  <c r="H168" i="2"/>
  <c r="J168" i="2"/>
  <c r="K168" i="2"/>
  <c r="A169" i="2"/>
  <c r="H169" i="2" s="1"/>
  <c r="B169" i="2"/>
  <c r="I169" i="2" s="1"/>
  <c r="C169" i="2"/>
  <c r="D169" i="2"/>
  <c r="E169" i="2"/>
  <c r="J169" i="2"/>
  <c r="K169" i="2"/>
  <c r="A170" i="2"/>
  <c r="B170" i="2"/>
  <c r="I170" i="2" s="1"/>
  <c r="C170" i="2"/>
  <c r="D170" i="2"/>
  <c r="E170" i="2"/>
  <c r="H170" i="2"/>
  <c r="J170" i="2"/>
  <c r="K170" i="2"/>
  <c r="A171" i="2"/>
  <c r="B171" i="2"/>
  <c r="I171" i="2" s="1"/>
  <c r="C171" i="2"/>
  <c r="D171" i="2"/>
  <c r="E171" i="2"/>
  <c r="H171" i="2"/>
  <c r="J171" i="2"/>
  <c r="K171" i="2"/>
  <c r="A172" i="2"/>
  <c r="B172" i="2"/>
  <c r="I172" i="2" s="1"/>
  <c r="C172" i="2"/>
  <c r="D172" i="2"/>
  <c r="E172" i="2"/>
  <c r="H172" i="2"/>
  <c r="J172" i="2"/>
  <c r="K172" i="2"/>
  <c r="A173" i="2"/>
  <c r="H173" i="2" s="1"/>
  <c r="B173" i="2"/>
  <c r="I173" i="2" s="1"/>
  <c r="C173" i="2"/>
  <c r="D173" i="2"/>
  <c r="E173" i="2"/>
  <c r="J173" i="2"/>
  <c r="K173" i="2"/>
  <c r="A174" i="2"/>
  <c r="B174" i="2"/>
  <c r="I174" i="2" s="1"/>
  <c r="C174" i="2"/>
  <c r="D174" i="2"/>
  <c r="E174" i="2"/>
  <c r="H174" i="2"/>
  <c r="J174" i="2"/>
  <c r="K174" i="2"/>
  <c r="A175" i="2"/>
  <c r="B175" i="2"/>
  <c r="I175" i="2" s="1"/>
  <c r="C175" i="2"/>
  <c r="D175" i="2"/>
  <c r="E175" i="2"/>
  <c r="H175" i="2"/>
  <c r="J175" i="2"/>
  <c r="K175" i="2"/>
  <c r="A176" i="2"/>
  <c r="B176" i="2"/>
  <c r="I176" i="2" s="1"/>
  <c r="C176" i="2"/>
  <c r="D176" i="2"/>
  <c r="E176" i="2"/>
  <c r="H176" i="2"/>
  <c r="J176" i="2"/>
  <c r="K176" i="2"/>
  <c r="A177" i="2"/>
  <c r="H177" i="2" s="1"/>
  <c r="B177" i="2"/>
  <c r="I177" i="2" s="1"/>
  <c r="C177" i="2"/>
  <c r="D177" i="2"/>
  <c r="E177" i="2"/>
  <c r="J177" i="2"/>
  <c r="K177" i="2"/>
  <c r="A178" i="2"/>
  <c r="B178" i="2"/>
  <c r="I178" i="2" s="1"/>
  <c r="C178" i="2"/>
  <c r="D178" i="2"/>
  <c r="E178" i="2"/>
  <c r="H178" i="2"/>
  <c r="J178" i="2"/>
  <c r="K178" i="2"/>
  <c r="A179" i="2"/>
  <c r="B179" i="2"/>
  <c r="I179" i="2" s="1"/>
  <c r="C179" i="2"/>
  <c r="D179" i="2"/>
  <c r="E179" i="2"/>
  <c r="H179" i="2"/>
  <c r="J179" i="2"/>
  <c r="K179" i="2"/>
  <c r="A180" i="2"/>
  <c r="B180" i="2"/>
  <c r="I180" i="2" s="1"/>
  <c r="C180" i="2"/>
  <c r="D180" i="2"/>
  <c r="E180" i="2"/>
  <c r="H180" i="2"/>
  <c r="J180" i="2"/>
  <c r="K180" i="2"/>
  <c r="A181" i="2"/>
  <c r="H181" i="2" s="1"/>
  <c r="B181" i="2"/>
  <c r="I181" i="2" s="1"/>
  <c r="C181" i="2"/>
  <c r="D181" i="2"/>
  <c r="E181" i="2"/>
  <c r="J181" i="2"/>
  <c r="K181" i="2"/>
  <c r="A182" i="2"/>
  <c r="B182" i="2"/>
  <c r="I182" i="2" s="1"/>
  <c r="C182" i="2"/>
  <c r="D182" i="2"/>
  <c r="E182" i="2"/>
  <c r="H182" i="2"/>
  <c r="J182" i="2"/>
  <c r="K182" i="2"/>
  <c r="A183" i="2"/>
  <c r="B183" i="2"/>
  <c r="I183" i="2" s="1"/>
  <c r="C183" i="2"/>
  <c r="D183" i="2"/>
  <c r="E183" i="2"/>
  <c r="H183" i="2"/>
  <c r="J183" i="2"/>
  <c r="K183" i="2"/>
  <c r="A184" i="2"/>
  <c r="B184" i="2"/>
  <c r="I184" i="2" s="1"/>
  <c r="C184" i="2"/>
  <c r="D184" i="2"/>
  <c r="E184" i="2"/>
  <c r="H184" i="2"/>
  <c r="J184" i="2"/>
  <c r="K184" i="2"/>
  <c r="A185" i="2"/>
  <c r="H185" i="2" s="1"/>
  <c r="B185" i="2"/>
  <c r="I185" i="2" s="1"/>
  <c r="C185" i="2"/>
  <c r="D185" i="2"/>
  <c r="E185" i="2"/>
  <c r="J185" i="2"/>
  <c r="K185" i="2"/>
  <c r="A186" i="2"/>
  <c r="B186" i="2"/>
  <c r="I186" i="2" s="1"/>
  <c r="C186" i="2"/>
  <c r="D186" i="2"/>
  <c r="E186" i="2"/>
  <c r="H186" i="2"/>
  <c r="J186" i="2"/>
  <c r="K186" i="2"/>
  <c r="A187" i="2"/>
  <c r="B187" i="2"/>
  <c r="C187" i="2"/>
  <c r="D187" i="2"/>
  <c r="E187" i="2"/>
  <c r="H187" i="2"/>
  <c r="I187" i="2"/>
  <c r="J187" i="2"/>
  <c r="K187" i="2"/>
  <c r="A188" i="2"/>
  <c r="B188" i="2"/>
  <c r="I188" i="2" s="1"/>
  <c r="C188" i="2"/>
  <c r="D188" i="2"/>
  <c r="E188" i="2"/>
  <c r="H188" i="2"/>
  <c r="J188" i="2"/>
  <c r="K188" i="2"/>
  <c r="A189" i="2"/>
  <c r="H189" i="2" s="1"/>
  <c r="B189" i="2"/>
  <c r="I189" i="2" s="1"/>
  <c r="C189" i="2"/>
  <c r="D189" i="2"/>
  <c r="E189" i="2"/>
  <c r="J189" i="2"/>
  <c r="K189" i="2"/>
  <c r="A190" i="2"/>
  <c r="B190" i="2"/>
  <c r="I190" i="2" s="1"/>
  <c r="C190" i="2"/>
  <c r="D190" i="2"/>
  <c r="E190" i="2"/>
  <c r="H190" i="2"/>
  <c r="J190" i="2"/>
  <c r="K190" i="2"/>
  <c r="A191" i="2"/>
  <c r="B191" i="2"/>
  <c r="I191" i="2" s="1"/>
  <c r="C191" i="2"/>
  <c r="D191" i="2"/>
  <c r="E191" i="2"/>
  <c r="H191" i="2"/>
  <c r="J191" i="2"/>
  <c r="K191" i="2"/>
  <c r="A192" i="2"/>
  <c r="B192" i="2"/>
  <c r="I192" i="2" s="1"/>
  <c r="C192" i="2"/>
  <c r="D192" i="2"/>
  <c r="E192" i="2"/>
  <c r="H192" i="2"/>
  <c r="J192" i="2"/>
  <c r="K192" i="2"/>
  <c r="A193" i="2"/>
  <c r="H193" i="2" s="1"/>
  <c r="B193" i="2"/>
  <c r="I193" i="2" s="1"/>
  <c r="C193" i="2"/>
  <c r="D193" i="2"/>
  <c r="E193" i="2"/>
  <c r="J193" i="2"/>
  <c r="K193" i="2"/>
  <c r="A194" i="2"/>
  <c r="B194" i="2"/>
  <c r="I194" i="2" s="1"/>
  <c r="C194" i="2"/>
  <c r="D194" i="2"/>
  <c r="E194" i="2"/>
  <c r="H194" i="2"/>
  <c r="J194" i="2"/>
  <c r="K194" i="2"/>
  <c r="A195" i="2"/>
  <c r="B195" i="2"/>
  <c r="C195" i="2"/>
  <c r="D195" i="2"/>
  <c r="E195" i="2"/>
  <c r="H195" i="2"/>
  <c r="I195" i="2"/>
  <c r="J195" i="2"/>
  <c r="K195" i="2"/>
  <c r="A196" i="2"/>
  <c r="B196" i="2"/>
  <c r="I196" i="2" s="1"/>
  <c r="C196" i="2"/>
  <c r="D196" i="2"/>
  <c r="E196" i="2"/>
  <c r="H196" i="2"/>
  <c r="J196" i="2"/>
  <c r="K196" i="2"/>
  <c r="A197" i="2"/>
  <c r="H197" i="2" s="1"/>
  <c r="B197" i="2"/>
  <c r="I197" i="2" s="1"/>
  <c r="C197" i="2"/>
  <c r="D197" i="2"/>
  <c r="E197" i="2"/>
  <c r="J197" i="2"/>
  <c r="K197" i="2"/>
  <c r="A198" i="2"/>
  <c r="B198" i="2"/>
  <c r="I198" i="2" s="1"/>
  <c r="C198" i="2"/>
  <c r="D198" i="2"/>
  <c r="E198" i="2"/>
  <c r="H198" i="2"/>
  <c r="J198" i="2"/>
  <c r="K198" i="2"/>
  <c r="A199" i="2"/>
  <c r="B199" i="2"/>
  <c r="C199" i="2"/>
  <c r="D199" i="2"/>
  <c r="E199" i="2"/>
  <c r="H199" i="2"/>
  <c r="I199" i="2"/>
  <c r="J199" i="2"/>
  <c r="K199" i="2"/>
  <c r="A200" i="2"/>
  <c r="B200" i="2"/>
  <c r="I200" i="2" s="1"/>
  <c r="C200" i="2"/>
  <c r="D200" i="2"/>
  <c r="E200" i="2"/>
  <c r="H200" i="2"/>
  <c r="J200" i="2"/>
  <c r="K200" i="2"/>
  <c r="A201" i="2"/>
  <c r="H201" i="2" s="1"/>
  <c r="B201" i="2"/>
  <c r="I201" i="2" s="1"/>
  <c r="C201" i="2"/>
  <c r="D201" i="2"/>
  <c r="E201" i="2"/>
  <c r="J201" i="2"/>
  <c r="K201" i="2"/>
  <c r="A202" i="2"/>
  <c r="B202" i="2"/>
  <c r="I202" i="2" s="1"/>
  <c r="C202" i="2"/>
  <c r="D202" i="2"/>
  <c r="E202" i="2"/>
  <c r="H202" i="2"/>
  <c r="J202" i="2"/>
  <c r="K202" i="2"/>
  <c r="A203" i="2"/>
  <c r="B203" i="2"/>
  <c r="I203" i="2" s="1"/>
  <c r="C203" i="2"/>
  <c r="D203" i="2"/>
  <c r="E203" i="2"/>
  <c r="H203" i="2"/>
  <c r="J203" i="2"/>
  <c r="K203" i="2"/>
  <c r="A204" i="2"/>
  <c r="B204" i="2"/>
  <c r="I204" i="2" s="1"/>
  <c r="C204" i="2"/>
  <c r="D204" i="2"/>
  <c r="E204" i="2"/>
  <c r="H204" i="2"/>
  <c r="J204" i="2"/>
  <c r="K204" i="2"/>
  <c r="A205" i="2"/>
  <c r="H205" i="2" s="1"/>
  <c r="B205" i="2"/>
  <c r="I205" i="2" s="1"/>
  <c r="C205" i="2"/>
  <c r="D205" i="2"/>
  <c r="E205" i="2"/>
  <c r="J205" i="2"/>
  <c r="K205" i="2"/>
  <c r="A206" i="2"/>
  <c r="B206" i="2"/>
  <c r="I206" i="2" s="1"/>
  <c r="C206" i="2"/>
  <c r="D206" i="2"/>
  <c r="E206" i="2"/>
  <c r="H206" i="2"/>
  <c r="J206" i="2"/>
  <c r="K206" i="2"/>
  <c r="A207" i="2"/>
  <c r="B207" i="2"/>
  <c r="C207" i="2"/>
  <c r="D207" i="2"/>
  <c r="E207" i="2"/>
  <c r="H207" i="2"/>
  <c r="I207" i="2"/>
  <c r="J207" i="2"/>
  <c r="K207" i="2"/>
  <c r="A208" i="2"/>
  <c r="B208" i="2"/>
  <c r="I208" i="2" s="1"/>
  <c r="C208" i="2"/>
  <c r="D208" i="2"/>
  <c r="E208" i="2"/>
  <c r="H208" i="2"/>
  <c r="J208" i="2"/>
  <c r="K208" i="2"/>
  <c r="A209" i="2"/>
  <c r="H209" i="2" s="1"/>
  <c r="B209" i="2"/>
  <c r="I209" i="2" s="1"/>
  <c r="C209" i="2"/>
  <c r="D209" i="2"/>
  <c r="E209" i="2"/>
  <c r="J209" i="2"/>
  <c r="K209" i="2"/>
  <c r="A210" i="2"/>
  <c r="B210" i="2"/>
  <c r="I210" i="2" s="1"/>
  <c r="C210" i="2"/>
  <c r="D210" i="2"/>
  <c r="E210" i="2"/>
  <c r="H210" i="2"/>
  <c r="J210" i="2"/>
  <c r="K210" i="2"/>
  <c r="A211" i="2"/>
  <c r="B211" i="2"/>
  <c r="C211" i="2"/>
  <c r="D211" i="2"/>
  <c r="E211" i="2"/>
  <c r="H211" i="2"/>
  <c r="I211" i="2"/>
  <c r="J211" i="2"/>
  <c r="K211" i="2"/>
  <c r="A212" i="2"/>
  <c r="B212" i="2"/>
  <c r="I212" i="2" s="1"/>
  <c r="C212" i="2"/>
  <c r="D212" i="2"/>
  <c r="E212" i="2"/>
  <c r="H212" i="2"/>
  <c r="J212" i="2"/>
  <c r="K212" i="2"/>
  <c r="A213" i="2"/>
  <c r="H213" i="2" s="1"/>
  <c r="B213" i="2"/>
  <c r="I213" i="2" s="1"/>
  <c r="C213" i="2"/>
  <c r="D213" i="2"/>
  <c r="E213" i="2"/>
  <c r="J213" i="2"/>
  <c r="K213" i="2"/>
  <c r="A214" i="2"/>
  <c r="B214" i="2"/>
  <c r="I214" i="2" s="1"/>
  <c r="C214" i="2"/>
  <c r="D214" i="2"/>
  <c r="E214" i="2"/>
  <c r="H214" i="2"/>
  <c r="J214" i="2"/>
  <c r="K214" i="2"/>
  <c r="A215" i="2"/>
  <c r="B215" i="2"/>
  <c r="I215" i="2" s="1"/>
  <c r="C215" i="2"/>
  <c r="D215" i="2"/>
  <c r="E215" i="2"/>
  <c r="H215" i="2"/>
  <c r="J215" i="2"/>
  <c r="K215" i="2"/>
  <c r="A216" i="2"/>
  <c r="B216" i="2"/>
  <c r="I216" i="2" s="1"/>
  <c r="C216" i="2"/>
  <c r="D216" i="2"/>
  <c r="E216" i="2"/>
  <c r="H216" i="2"/>
  <c r="J216" i="2"/>
  <c r="K216" i="2"/>
  <c r="A217" i="2"/>
  <c r="H217" i="2" s="1"/>
  <c r="B217" i="2"/>
  <c r="I217" i="2" s="1"/>
  <c r="C217" i="2"/>
  <c r="D217" i="2"/>
  <c r="E217" i="2"/>
  <c r="J217" i="2"/>
  <c r="K217" i="2"/>
  <c r="A218" i="2"/>
  <c r="B218" i="2"/>
  <c r="I218" i="2" s="1"/>
  <c r="C218" i="2"/>
  <c r="D218" i="2"/>
  <c r="E218" i="2"/>
  <c r="H218" i="2"/>
  <c r="J218" i="2"/>
  <c r="K218" i="2"/>
  <c r="A219" i="2"/>
  <c r="B219" i="2"/>
  <c r="C219" i="2"/>
  <c r="D219" i="2"/>
  <c r="E219" i="2"/>
  <c r="H219" i="2"/>
  <c r="I219" i="2"/>
  <c r="J219" i="2"/>
  <c r="K219" i="2"/>
  <c r="A220" i="2"/>
  <c r="B220" i="2"/>
  <c r="I220" i="2" s="1"/>
  <c r="C220" i="2"/>
  <c r="D220" i="2"/>
  <c r="E220" i="2"/>
  <c r="H220" i="2"/>
  <c r="J220" i="2"/>
  <c r="K220" i="2"/>
  <c r="A221" i="2"/>
  <c r="H221" i="2" s="1"/>
  <c r="B221" i="2"/>
  <c r="I221" i="2" s="1"/>
  <c r="C221" i="2"/>
  <c r="D221" i="2"/>
  <c r="E221" i="2"/>
  <c r="J221" i="2"/>
  <c r="K221" i="2"/>
  <c r="A222" i="2"/>
  <c r="B222" i="2"/>
  <c r="I222" i="2" s="1"/>
  <c r="C222" i="2"/>
  <c r="D222" i="2"/>
  <c r="E222" i="2"/>
  <c r="H222" i="2"/>
  <c r="J222" i="2"/>
  <c r="K222" i="2"/>
  <c r="A223" i="2"/>
  <c r="H223" i="2" s="1"/>
  <c r="B223" i="2"/>
  <c r="I223" i="2" s="1"/>
  <c r="C223" i="2"/>
  <c r="D223" i="2"/>
  <c r="E223" i="2"/>
  <c r="J223" i="2"/>
  <c r="K223" i="2"/>
  <c r="A224" i="2"/>
  <c r="B224" i="2"/>
  <c r="I224" i="2" s="1"/>
  <c r="C224" i="2"/>
  <c r="D224" i="2"/>
  <c r="E224" i="2"/>
  <c r="H224" i="2"/>
  <c r="J224" i="2"/>
  <c r="K224" i="2"/>
  <c r="A225" i="2"/>
  <c r="H225" i="2" s="1"/>
  <c r="B225" i="2"/>
  <c r="C225" i="2"/>
  <c r="D225" i="2"/>
  <c r="E225" i="2"/>
  <c r="I225" i="2"/>
  <c r="J225" i="2"/>
  <c r="K225" i="2"/>
  <c r="A226" i="2"/>
  <c r="B226" i="2"/>
  <c r="I226" i="2" s="1"/>
  <c r="C226" i="2"/>
  <c r="D226" i="2"/>
  <c r="E226" i="2"/>
  <c r="H226" i="2"/>
  <c r="J226" i="2"/>
  <c r="K226" i="2"/>
  <c r="A227" i="2"/>
  <c r="H227" i="2" s="1"/>
  <c r="B227" i="2"/>
  <c r="C227" i="2"/>
  <c r="D227" i="2"/>
  <c r="E227" i="2"/>
  <c r="I227" i="2"/>
  <c r="J227" i="2"/>
  <c r="K227" i="2"/>
  <c r="A228" i="2"/>
  <c r="B228" i="2"/>
  <c r="I228" i="2" s="1"/>
  <c r="C228" i="2"/>
  <c r="D228" i="2"/>
  <c r="E228" i="2"/>
  <c r="H228" i="2"/>
  <c r="J228" i="2"/>
  <c r="K228" i="2"/>
  <c r="A229" i="2"/>
  <c r="H229" i="2" s="1"/>
  <c r="B229" i="2"/>
  <c r="C229" i="2"/>
  <c r="D229" i="2"/>
  <c r="E229" i="2"/>
  <c r="I229" i="2"/>
  <c r="J229" i="2"/>
  <c r="K229" i="2"/>
  <c r="A230" i="2"/>
  <c r="B230" i="2"/>
  <c r="I230" i="2" s="1"/>
  <c r="C230" i="2"/>
  <c r="D230" i="2"/>
  <c r="E230" i="2"/>
  <c r="H230" i="2"/>
  <c r="J230" i="2"/>
  <c r="K230" i="2"/>
  <c r="A231" i="2"/>
  <c r="B231" i="2"/>
  <c r="I231" i="2" s="1"/>
  <c r="C231" i="2"/>
  <c r="D231" i="2"/>
  <c r="E231" i="2"/>
  <c r="H231" i="2"/>
  <c r="J231" i="2"/>
  <c r="K231" i="2"/>
  <c r="A232" i="2"/>
  <c r="B232" i="2"/>
  <c r="I232" i="2" s="1"/>
  <c r="C232" i="2"/>
  <c r="D232" i="2"/>
  <c r="E232" i="2"/>
  <c r="H232" i="2"/>
  <c r="J232" i="2"/>
  <c r="K232" i="2"/>
  <c r="A233" i="2"/>
  <c r="H233" i="2" s="1"/>
  <c r="B233" i="2"/>
  <c r="C233" i="2"/>
  <c r="D233" i="2"/>
  <c r="E233" i="2"/>
  <c r="I233" i="2"/>
  <c r="J233" i="2"/>
  <c r="K233" i="2"/>
  <c r="A234" i="2"/>
  <c r="B234" i="2"/>
  <c r="I234" i="2" s="1"/>
  <c r="C234" i="2"/>
  <c r="D234" i="2"/>
  <c r="E234" i="2"/>
  <c r="H234" i="2"/>
  <c r="J234" i="2"/>
  <c r="K234" i="2"/>
  <c r="A235" i="2"/>
  <c r="H235" i="2" s="1"/>
  <c r="B235" i="2"/>
  <c r="C235" i="2"/>
  <c r="D235" i="2"/>
  <c r="E235" i="2"/>
  <c r="I235" i="2"/>
  <c r="J235" i="2"/>
  <c r="K235" i="2"/>
  <c r="A236" i="2"/>
  <c r="B236" i="2"/>
  <c r="I236" i="2" s="1"/>
  <c r="C236" i="2"/>
  <c r="D236" i="2"/>
  <c r="E236" i="2"/>
  <c r="H236" i="2"/>
  <c r="J236" i="2"/>
  <c r="K236" i="2"/>
  <c r="A237" i="2"/>
  <c r="H237" i="2" s="1"/>
  <c r="B237" i="2"/>
  <c r="I237" i="2" s="1"/>
  <c r="C237" i="2"/>
  <c r="D237" i="2"/>
  <c r="E237" i="2"/>
  <c r="J237" i="2"/>
  <c r="K237" i="2"/>
  <c r="A238" i="2"/>
  <c r="B238" i="2"/>
  <c r="I238" i="2" s="1"/>
  <c r="C238" i="2"/>
  <c r="D238" i="2"/>
  <c r="E238" i="2"/>
  <c r="H238" i="2"/>
  <c r="J238" i="2"/>
  <c r="K238" i="2"/>
  <c r="A239" i="2"/>
  <c r="H239" i="2" s="1"/>
  <c r="B239" i="2"/>
  <c r="I239" i="2" s="1"/>
  <c r="C239" i="2"/>
  <c r="D239" i="2"/>
  <c r="E239" i="2"/>
  <c r="J239" i="2"/>
  <c r="K239" i="2"/>
  <c r="A240" i="2"/>
  <c r="B240" i="2"/>
  <c r="I240" i="2" s="1"/>
  <c r="C240" i="2"/>
  <c r="D240" i="2"/>
  <c r="E240" i="2"/>
  <c r="H240" i="2"/>
  <c r="J240" i="2"/>
  <c r="K240" i="2"/>
  <c r="A241" i="2"/>
  <c r="H241" i="2" s="1"/>
  <c r="B241" i="2"/>
  <c r="I241" i="2" s="1"/>
  <c r="C241" i="2"/>
  <c r="D241" i="2"/>
  <c r="E241" i="2"/>
  <c r="J241" i="2"/>
  <c r="K241" i="2"/>
  <c r="A242" i="2"/>
  <c r="B242" i="2"/>
  <c r="I242" i="2" s="1"/>
  <c r="C242" i="2"/>
  <c r="D242" i="2"/>
  <c r="E242" i="2"/>
  <c r="H242" i="2"/>
  <c r="J242" i="2"/>
  <c r="K242" i="2"/>
  <c r="A243" i="2"/>
  <c r="H243" i="2" s="1"/>
  <c r="B243" i="2"/>
  <c r="C243" i="2"/>
  <c r="D243" i="2"/>
  <c r="E243" i="2"/>
  <c r="I243" i="2"/>
  <c r="J243" i="2"/>
  <c r="K243" i="2"/>
  <c r="A244" i="2"/>
  <c r="B244" i="2"/>
  <c r="I244" i="2" s="1"/>
  <c r="C244" i="2"/>
  <c r="D244" i="2"/>
  <c r="E244" i="2"/>
  <c r="H244" i="2"/>
  <c r="J244" i="2"/>
  <c r="K244" i="2"/>
  <c r="A245" i="2"/>
  <c r="H245" i="2" s="1"/>
  <c r="B245" i="2"/>
  <c r="C245" i="2"/>
  <c r="D245" i="2"/>
  <c r="E245" i="2"/>
  <c r="I245" i="2"/>
  <c r="J245" i="2"/>
  <c r="K245" i="2"/>
  <c r="A246" i="2"/>
  <c r="H246" i="2" s="1"/>
  <c r="B246" i="2"/>
  <c r="I246" i="2" s="1"/>
  <c r="C246" i="2"/>
  <c r="D246" i="2"/>
  <c r="E246" i="2"/>
  <c r="J246" i="2"/>
  <c r="K246" i="2"/>
  <c r="A247" i="2"/>
  <c r="H247" i="2" s="1"/>
  <c r="B247" i="2"/>
  <c r="I247" i="2" s="1"/>
  <c r="C247" i="2"/>
  <c r="D247" i="2"/>
  <c r="E247" i="2"/>
  <c r="J247" i="2"/>
  <c r="K247" i="2"/>
  <c r="A248" i="2"/>
  <c r="B248" i="2"/>
  <c r="C248" i="2"/>
  <c r="D248" i="2"/>
  <c r="E248" i="2"/>
  <c r="H248" i="2"/>
  <c r="I248" i="2"/>
  <c r="J248" i="2"/>
  <c r="K248" i="2"/>
  <c r="A249" i="2"/>
  <c r="H249" i="2" s="1"/>
  <c r="B249" i="2"/>
  <c r="C249" i="2"/>
  <c r="D249" i="2"/>
  <c r="E249" i="2"/>
  <c r="I249" i="2"/>
  <c r="J249" i="2"/>
  <c r="K249" i="2"/>
  <c r="A250" i="2"/>
  <c r="H250" i="2" s="1"/>
  <c r="B250" i="2"/>
  <c r="I250" i="2" s="1"/>
  <c r="C250" i="2"/>
  <c r="D250" i="2"/>
  <c r="E250" i="2"/>
  <c r="J250" i="2"/>
  <c r="K250" i="2"/>
  <c r="A251" i="2"/>
  <c r="H251" i="2" s="1"/>
  <c r="B251" i="2"/>
  <c r="I251" i="2" s="1"/>
  <c r="C251" i="2"/>
  <c r="D251" i="2"/>
  <c r="E251" i="2"/>
  <c r="J251" i="2"/>
  <c r="K251" i="2"/>
  <c r="A252" i="2"/>
  <c r="B252" i="2"/>
  <c r="C252" i="2"/>
  <c r="D252" i="2"/>
  <c r="E252" i="2"/>
  <c r="H252" i="2"/>
  <c r="I252" i="2"/>
  <c r="J252" i="2"/>
  <c r="K252" i="2"/>
  <c r="A253" i="2"/>
  <c r="H253" i="2" s="1"/>
  <c r="B253" i="2"/>
  <c r="C253" i="2"/>
  <c r="D253" i="2"/>
  <c r="E253" i="2"/>
  <c r="I253" i="2"/>
  <c r="J253" i="2"/>
  <c r="K253" i="2"/>
  <c r="A254" i="2"/>
  <c r="H254" i="2" s="1"/>
  <c r="B254" i="2"/>
  <c r="I254" i="2" s="1"/>
  <c r="C254" i="2"/>
  <c r="D254" i="2"/>
  <c r="E254" i="2"/>
  <c r="J254" i="2"/>
  <c r="K254" i="2"/>
  <c r="A255" i="2"/>
  <c r="B255" i="2"/>
  <c r="C255" i="2"/>
  <c r="D255" i="2"/>
  <c r="E255" i="2"/>
  <c r="H255" i="2"/>
  <c r="I255" i="2"/>
  <c r="J255" i="2"/>
  <c r="K255" i="2"/>
  <c r="A256" i="2"/>
  <c r="B256" i="2"/>
  <c r="C256" i="2"/>
  <c r="D256" i="2"/>
  <c r="E256" i="2"/>
  <c r="H256" i="2"/>
  <c r="I256" i="2"/>
  <c r="J256" i="2"/>
  <c r="K256" i="2"/>
  <c r="A257" i="2"/>
  <c r="H257" i="2" s="1"/>
  <c r="B257" i="2"/>
  <c r="C257" i="2"/>
  <c r="D257" i="2"/>
  <c r="E257" i="2"/>
  <c r="I257" i="2"/>
  <c r="J257" i="2"/>
  <c r="K257" i="2"/>
  <c r="A258" i="2"/>
  <c r="B258" i="2"/>
  <c r="I258" i="2" s="1"/>
  <c r="C258" i="2"/>
  <c r="D258" i="2"/>
  <c r="E258" i="2"/>
  <c r="H258" i="2"/>
  <c r="J258" i="2"/>
  <c r="K258" i="2"/>
  <c r="A259" i="2"/>
  <c r="B259" i="2"/>
  <c r="I259" i="2" s="1"/>
  <c r="C259" i="2"/>
  <c r="D259" i="2"/>
  <c r="E259" i="2"/>
  <c r="H259" i="2"/>
  <c r="J259" i="2"/>
  <c r="K259" i="2"/>
  <c r="A260" i="2"/>
  <c r="B260" i="2"/>
  <c r="I260" i="2" s="1"/>
  <c r="C260" i="2"/>
  <c r="D260" i="2"/>
  <c r="E260" i="2"/>
  <c r="H260" i="2"/>
  <c r="J260" i="2"/>
  <c r="K260" i="2"/>
  <c r="A261" i="2"/>
  <c r="H261" i="2" s="1"/>
  <c r="B261" i="2"/>
  <c r="I261" i="2" s="1"/>
  <c r="C261" i="2"/>
  <c r="D261" i="2"/>
  <c r="E261" i="2"/>
  <c r="J261" i="2"/>
  <c r="K261" i="2"/>
  <c r="A262" i="2"/>
  <c r="B262" i="2"/>
  <c r="I262" i="2" s="1"/>
  <c r="C262" i="2"/>
  <c r="D262" i="2"/>
  <c r="E262" i="2"/>
  <c r="H262" i="2"/>
  <c r="J262" i="2"/>
  <c r="K262" i="2"/>
  <c r="A263" i="2"/>
  <c r="H263" i="2" s="1"/>
  <c r="B263" i="2"/>
  <c r="C263" i="2"/>
  <c r="D263" i="2"/>
  <c r="E263" i="2"/>
  <c r="I263" i="2"/>
  <c r="J263" i="2"/>
  <c r="K263" i="2"/>
  <c r="A264" i="2"/>
  <c r="B264" i="2"/>
  <c r="I264" i="2" s="1"/>
  <c r="C264" i="2"/>
  <c r="D264" i="2"/>
  <c r="E264" i="2"/>
  <c r="H264" i="2"/>
  <c r="J264" i="2"/>
  <c r="K264" i="2"/>
  <c r="A265" i="2"/>
  <c r="H265" i="2" s="1"/>
  <c r="B265" i="2"/>
  <c r="I265" i="2" s="1"/>
  <c r="C265" i="2"/>
  <c r="D265" i="2"/>
  <c r="E265" i="2"/>
  <c r="J265" i="2"/>
  <c r="K265" i="2"/>
  <c r="A266" i="2"/>
  <c r="B266" i="2"/>
  <c r="I266" i="2" s="1"/>
  <c r="C266" i="2"/>
  <c r="D266" i="2"/>
  <c r="E266" i="2"/>
  <c r="H266" i="2"/>
  <c r="J266" i="2"/>
  <c r="K266" i="2"/>
  <c r="A267" i="2"/>
  <c r="H267" i="2" s="1"/>
  <c r="B267" i="2"/>
  <c r="C267" i="2"/>
  <c r="D267" i="2"/>
  <c r="E267" i="2"/>
  <c r="I267" i="2"/>
  <c r="J267" i="2"/>
  <c r="K267" i="2"/>
  <c r="A268" i="2"/>
  <c r="B268" i="2"/>
  <c r="I268" i="2" s="1"/>
  <c r="C268" i="2"/>
  <c r="D268" i="2"/>
  <c r="E268" i="2"/>
  <c r="H268" i="2"/>
  <c r="J268" i="2"/>
  <c r="K268" i="2"/>
  <c r="A269" i="2"/>
  <c r="H269" i="2" s="1"/>
  <c r="B269" i="2"/>
  <c r="C269" i="2"/>
  <c r="D269" i="2"/>
  <c r="E269" i="2"/>
  <c r="I269" i="2"/>
  <c r="J269" i="2"/>
  <c r="K269" i="2"/>
  <c r="A270" i="2"/>
  <c r="H270" i="2" s="1"/>
  <c r="B270" i="2"/>
  <c r="I270" i="2" s="1"/>
  <c r="C270" i="2"/>
  <c r="D270" i="2"/>
  <c r="E270" i="2"/>
  <c r="J270" i="2"/>
  <c r="K270" i="2"/>
  <c r="A271" i="2"/>
  <c r="H271" i="2" s="1"/>
  <c r="B271" i="2"/>
  <c r="I271" i="2" s="1"/>
  <c r="C271" i="2"/>
  <c r="D271" i="2"/>
  <c r="E271" i="2"/>
  <c r="J271" i="2"/>
  <c r="K271" i="2"/>
  <c r="A272" i="2"/>
  <c r="B272" i="2"/>
  <c r="C272" i="2"/>
  <c r="D272" i="2"/>
  <c r="E272" i="2"/>
  <c r="H272" i="2"/>
  <c r="I272" i="2"/>
  <c r="J272" i="2"/>
  <c r="K272" i="2"/>
  <c r="A273" i="2"/>
  <c r="H273" i="2" s="1"/>
  <c r="B273" i="2"/>
  <c r="C273" i="2"/>
  <c r="D273" i="2"/>
  <c r="E273" i="2"/>
  <c r="I273" i="2"/>
  <c r="J273" i="2"/>
  <c r="K273" i="2"/>
  <c r="A274" i="2"/>
  <c r="H274" i="2" s="1"/>
  <c r="B274" i="2"/>
  <c r="I274" i="2" s="1"/>
  <c r="C274" i="2"/>
  <c r="D274" i="2"/>
  <c r="E274" i="2"/>
  <c r="J274" i="2"/>
  <c r="K274" i="2"/>
  <c r="A275" i="2"/>
  <c r="B275" i="2"/>
  <c r="I275" i="2" s="1"/>
  <c r="C275" i="2"/>
  <c r="D275" i="2"/>
  <c r="E275" i="2"/>
  <c r="H275" i="2"/>
  <c r="J275" i="2"/>
  <c r="K275" i="2"/>
  <c r="A276" i="2"/>
  <c r="B276" i="2"/>
  <c r="C276" i="2"/>
  <c r="D276" i="2"/>
  <c r="E276" i="2"/>
  <c r="H276" i="2"/>
  <c r="I276" i="2"/>
  <c r="J276" i="2"/>
  <c r="K276" i="2"/>
  <c r="A277" i="2"/>
  <c r="H277" i="2" s="1"/>
  <c r="B277" i="2"/>
  <c r="C277" i="2"/>
  <c r="D277" i="2"/>
  <c r="E277" i="2"/>
  <c r="I277" i="2"/>
  <c r="J277" i="2"/>
  <c r="K277" i="2"/>
  <c r="A278" i="2"/>
  <c r="H278" i="2" s="1"/>
  <c r="B278" i="2"/>
  <c r="I278" i="2" s="1"/>
  <c r="C278" i="2"/>
  <c r="D278" i="2"/>
  <c r="E278" i="2"/>
  <c r="J278" i="2"/>
  <c r="K278" i="2"/>
  <c r="A279" i="2"/>
  <c r="B279" i="2"/>
  <c r="C279" i="2"/>
  <c r="D279" i="2"/>
  <c r="E279" i="2"/>
  <c r="H279" i="2"/>
  <c r="I279" i="2"/>
  <c r="J279" i="2"/>
  <c r="K279" i="2"/>
  <c r="A280" i="2"/>
  <c r="B280" i="2"/>
  <c r="C280" i="2"/>
  <c r="D280" i="2"/>
  <c r="E280" i="2"/>
  <c r="H280" i="2"/>
  <c r="I280" i="2"/>
  <c r="J280" i="2"/>
  <c r="K280" i="2"/>
  <c r="A281" i="2"/>
  <c r="H281" i="2" s="1"/>
  <c r="B281" i="2"/>
  <c r="C281" i="2"/>
  <c r="D281" i="2"/>
  <c r="E281" i="2"/>
  <c r="I281" i="2"/>
  <c r="J281" i="2"/>
  <c r="K281" i="2"/>
  <c r="A282" i="2"/>
  <c r="B282" i="2"/>
  <c r="I282" i="2" s="1"/>
  <c r="C282" i="2"/>
  <c r="D282" i="2"/>
  <c r="E282" i="2"/>
  <c r="H282" i="2"/>
  <c r="J282" i="2"/>
  <c r="K282" i="2"/>
  <c r="A283" i="2"/>
  <c r="B283" i="2"/>
  <c r="C283" i="2"/>
  <c r="D283" i="2"/>
  <c r="E283" i="2"/>
  <c r="H283" i="2"/>
  <c r="I283" i="2"/>
  <c r="J283" i="2"/>
  <c r="K283" i="2"/>
  <c r="A284" i="2"/>
  <c r="B284" i="2"/>
  <c r="I284" i="2" s="1"/>
  <c r="C284" i="2"/>
  <c r="D284" i="2"/>
  <c r="E284" i="2"/>
  <c r="H284" i="2"/>
  <c r="J284" i="2"/>
  <c r="K284" i="2"/>
  <c r="A285" i="2"/>
  <c r="H285" i="2" s="1"/>
  <c r="B285" i="2"/>
  <c r="I285" i="2" s="1"/>
  <c r="C285" i="2"/>
  <c r="D285" i="2"/>
  <c r="E285" i="2"/>
  <c r="J285" i="2"/>
  <c r="K285" i="2"/>
  <c r="A286" i="2"/>
  <c r="B286" i="2"/>
  <c r="I286" i="2" s="1"/>
  <c r="C286" i="2"/>
  <c r="D286" i="2"/>
  <c r="E286" i="2"/>
  <c r="H286" i="2"/>
  <c r="J286" i="2"/>
  <c r="K286" i="2"/>
  <c r="A287" i="2"/>
  <c r="H287" i="2" s="1"/>
  <c r="B287" i="2"/>
  <c r="C287" i="2"/>
  <c r="D287" i="2"/>
  <c r="E287" i="2"/>
  <c r="I287" i="2"/>
  <c r="J287" i="2"/>
  <c r="K287" i="2"/>
  <c r="A288" i="2"/>
  <c r="B288" i="2"/>
  <c r="I288" i="2" s="1"/>
  <c r="C288" i="2"/>
  <c r="D288" i="2"/>
  <c r="E288" i="2"/>
  <c r="H288" i="2"/>
  <c r="J288" i="2"/>
  <c r="K288" i="2"/>
  <c r="A289" i="2"/>
  <c r="H289" i="2" s="1"/>
  <c r="B289" i="2"/>
  <c r="I289" i="2" s="1"/>
  <c r="C289" i="2"/>
  <c r="D289" i="2"/>
  <c r="E289" i="2"/>
  <c r="J289" i="2"/>
  <c r="K289" i="2"/>
  <c r="A290" i="2"/>
  <c r="B290" i="2"/>
  <c r="I290" i="2" s="1"/>
  <c r="C290" i="2"/>
  <c r="D290" i="2"/>
  <c r="E290" i="2"/>
  <c r="H290" i="2"/>
  <c r="J290" i="2"/>
  <c r="K290" i="2"/>
  <c r="A291" i="2"/>
  <c r="H291" i="2" s="1"/>
  <c r="B291" i="2"/>
  <c r="C291" i="2"/>
  <c r="D291" i="2"/>
  <c r="E291" i="2"/>
  <c r="I291" i="2"/>
  <c r="J291" i="2"/>
  <c r="K291" i="2"/>
  <c r="A292" i="2"/>
  <c r="B292" i="2"/>
  <c r="I292" i="2" s="1"/>
  <c r="C292" i="2"/>
  <c r="D292" i="2"/>
  <c r="E292" i="2"/>
  <c r="H292" i="2"/>
  <c r="J292" i="2"/>
  <c r="K292" i="2"/>
  <c r="A293" i="2"/>
  <c r="H293" i="2" s="1"/>
  <c r="B293" i="2"/>
  <c r="C293" i="2"/>
  <c r="D293" i="2"/>
  <c r="E293" i="2"/>
  <c r="I293" i="2"/>
  <c r="J293" i="2"/>
  <c r="K293" i="2"/>
  <c r="A294" i="2"/>
  <c r="H294" i="2" s="1"/>
  <c r="B294" i="2"/>
  <c r="I294" i="2" s="1"/>
  <c r="C294" i="2"/>
  <c r="D294" i="2"/>
  <c r="E294" i="2"/>
  <c r="J294" i="2"/>
  <c r="K294" i="2"/>
  <c r="A295" i="2"/>
  <c r="H295" i="2" s="1"/>
  <c r="B295" i="2"/>
  <c r="I295" i="2" s="1"/>
  <c r="C295" i="2"/>
  <c r="D295" i="2"/>
  <c r="E295" i="2"/>
  <c r="J295" i="2"/>
  <c r="K295" i="2"/>
  <c r="A296" i="2"/>
  <c r="B296" i="2"/>
  <c r="C296" i="2"/>
  <c r="D296" i="2"/>
  <c r="E296" i="2"/>
  <c r="H296" i="2"/>
  <c r="I296" i="2"/>
  <c r="J296" i="2"/>
  <c r="K296" i="2"/>
  <c r="A297" i="2"/>
  <c r="H297" i="2" s="1"/>
  <c r="B297" i="2"/>
  <c r="C297" i="2"/>
  <c r="D297" i="2"/>
  <c r="E297" i="2"/>
  <c r="I297" i="2"/>
  <c r="J297" i="2"/>
  <c r="K297" i="2"/>
  <c r="A298" i="2"/>
  <c r="H298" i="2" s="1"/>
  <c r="B298" i="2"/>
  <c r="I298" i="2" s="1"/>
  <c r="C298" i="2"/>
  <c r="D298" i="2"/>
  <c r="E298" i="2"/>
  <c r="J298" i="2"/>
  <c r="K298" i="2"/>
  <c r="A299" i="2"/>
  <c r="B299" i="2"/>
  <c r="I299" i="2" s="1"/>
  <c r="C299" i="2"/>
  <c r="D299" i="2"/>
  <c r="E299" i="2"/>
  <c r="H299" i="2"/>
  <c r="J299" i="2"/>
  <c r="K299" i="2"/>
  <c r="A300" i="2"/>
  <c r="B300" i="2"/>
  <c r="C300" i="2"/>
  <c r="D300" i="2"/>
  <c r="E300" i="2"/>
  <c r="H300" i="2"/>
  <c r="I300" i="2"/>
  <c r="J300" i="2"/>
  <c r="K300" i="2"/>
  <c r="A301" i="2"/>
  <c r="H301" i="2" s="1"/>
  <c r="B301" i="2"/>
  <c r="C301" i="2"/>
  <c r="D301" i="2"/>
  <c r="E301" i="2"/>
  <c r="I301" i="2"/>
  <c r="J301" i="2"/>
  <c r="K301" i="2"/>
  <c r="A302" i="2"/>
  <c r="H302" i="2" s="1"/>
  <c r="B302" i="2"/>
  <c r="I302" i="2" s="1"/>
  <c r="C302" i="2"/>
  <c r="D302" i="2"/>
  <c r="E302" i="2"/>
  <c r="J302" i="2"/>
  <c r="K302" i="2"/>
  <c r="A303" i="2"/>
  <c r="B303" i="2"/>
  <c r="C303" i="2"/>
  <c r="D303" i="2"/>
  <c r="E303" i="2"/>
  <c r="H303" i="2"/>
  <c r="I303" i="2"/>
  <c r="J303" i="2"/>
  <c r="K303" i="2"/>
  <c r="A304" i="2"/>
  <c r="B304" i="2"/>
  <c r="C304" i="2"/>
  <c r="D304" i="2"/>
  <c r="E304" i="2"/>
  <c r="H304" i="2"/>
  <c r="I304" i="2"/>
  <c r="J304" i="2"/>
  <c r="K304" i="2"/>
  <c r="A305" i="2"/>
  <c r="H305" i="2" s="1"/>
  <c r="B305" i="2"/>
  <c r="C305" i="2"/>
  <c r="D305" i="2"/>
  <c r="E305" i="2"/>
  <c r="I305" i="2"/>
  <c r="J305" i="2"/>
  <c r="K305" i="2"/>
  <c r="A306" i="2"/>
  <c r="H306" i="2" s="1"/>
  <c r="B306" i="2"/>
  <c r="I306" i="2" s="1"/>
  <c r="C306" i="2"/>
  <c r="D306" i="2"/>
  <c r="E306" i="2"/>
  <c r="J306" i="2"/>
  <c r="K306" i="2"/>
  <c r="A307" i="2"/>
  <c r="B307" i="2"/>
  <c r="C307" i="2"/>
  <c r="D307" i="2"/>
  <c r="E307" i="2"/>
  <c r="H307" i="2"/>
  <c r="I307" i="2"/>
  <c r="J307" i="2"/>
  <c r="K307" i="2"/>
  <c r="A308" i="2"/>
  <c r="B308" i="2"/>
  <c r="C308" i="2"/>
  <c r="D308" i="2"/>
  <c r="E308" i="2"/>
  <c r="H308" i="2"/>
  <c r="I308" i="2"/>
  <c r="J308" i="2"/>
  <c r="K308" i="2"/>
  <c r="A309" i="2"/>
  <c r="H309" i="2" s="1"/>
  <c r="B309" i="2"/>
  <c r="C309" i="2"/>
  <c r="D309" i="2"/>
  <c r="E309" i="2"/>
  <c r="I309" i="2"/>
  <c r="J309" i="2"/>
  <c r="K309" i="2"/>
  <c r="A310" i="2"/>
  <c r="B310" i="2"/>
  <c r="I310" i="2" s="1"/>
  <c r="C310" i="2"/>
  <c r="D310" i="2"/>
  <c r="E310" i="2"/>
  <c r="H310" i="2"/>
  <c r="J310" i="2"/>
  <c r="K310" i="2"/>
  <c r="A311" i="2"/>
  <c r="B311" i="2"/>
  <c r="C311" i="2"/>
  <c r="D311" i="2"/>
  <c r="E311" i="2"/>
  <c r="H311" i="2"/>
  <c r="I311" i="2"/>
  <c r="J311" i="2"/>
  <c r="K311" i="2"/>
  <c r="A312" i="2"/>
  <c r="H312" i="2" s="1"/>
  <c r="B312" i="2"/>
  <c r="C312" i="2"/>
  <c r="D312" i="2"/>
  <c r="E312" i="2"/>
  <c r="I312" i="2"/>
  <c r="J312" i="2"/>
  <c r="K312" i="2"/>
  <c r="A313" i="2"/>
  <c r="H313" i="2" s="1"/>
  <c r="B313" i="2"/>
  <c r="I313" i="2" s="1"/>
  <c r="C313" i="2"/>
  <c r="D313" i="2"/>
  <c r="E313" i="2"/>
  <c r="J313" i="2"/>
  <c r="K313" i="2"/>
  <c r="A314" i="2"/>
  <c r="B314" i="2"/>
  <c r="C314" i="2"/>
  <c r="D314" i="2"/>
  <c r="E314" i="2"/>
  <c r="H314" i="2"/>
  <c r="I314" i="2"/>
  <c r="J314" i="2"/>
  <c r="K314" i="2"/>
  <c r="A315" i="2"/>
  <c r="B315" i="2"/>
  <c r="C315" i="2"/>
  <c r="D315" i="2"/>
  <c r="E315" i="2"/>
  <c r="H315" i="2"/>
  <c r="I315" i="2"/>
  <c r="J315" i="2"/>
  <c r="K315" i="2"/>
  <c r="A316" i="2"/>
  <c r="B316" i="2"/>
  <c r="I316" i="2" s="1"/>
  <c r="C316" i="2"/>
  <c r="D316" i="2"/>
  <c r="E316" i="2"/>
  <c r="H316" i="2"/>
  <c r="J316" i="2"/>
  <c r="K316" i="2"/>
  <c r="A317" i="2"/>
  <c r="H317" i="2" s="1"/>
  <c r="B317" i="2"/>
  <c r="I317" i="2" s="1"/>
  <c r="C317" i="2"/>
  <c r="D317" i="2"/>
  <c r="E317" i="2"/>
  <c r="J317" i="2"/>
  <c r="K317" i="2"/>
  <c r="A318" i="2"/>
  <c r="B318" i="2"/>
  <c r="C318" i="2"/>
  <c r="D318" i="2"/>
  <c r="E318" i="2"/>
  <c r="H318" i="2"/>
  <c r="I318" i="2"/>
  <c r="J318" i="2"/>
  <c r="K318" i="2"/>
  <c r="A319" i="2"/>
  <c r="B319" i="2"/>
  <c r="C319" i="2"/>
  <c r="D319" i="2"/>
  <c r="E319" i="2"/>
  <c r="H319" i="2"/>
  <c r="I319" i="2"/>
  <c r="J319" i="2"/>
  <c r="K319" i="2"/>
  <c r="A320" i="2"/>
  <c r="H320" i="2" s="1"/>
  <c r="B320" i="2"/>
  <c r="C320" i="2"/>
  <c r="D320" i="2"/>
  <c r="E320" i="2"/>
  <c r="I320" i="2"/>
  <c r="J320" i="2"/>
  <c r="K320" i="2"/>
  <c r="A321" i="2"/>
  <c r="H321" i="2" s="1"/>
  <c r="B321" i="2"/>
  <c r="I321" i="2" s="1"/>
  <c r="C321" i="2"/>
  <c r="D321" i="2"/>
  <c r="E321" i="2"/>
  <c r="J321" i="2"/>
  <c r="K321" i="2"/>
  <c r="A322" i="2"/>
  <c r="B322" i="2"/>
  <c r="C322" i="2"/>
  <c r="D322" i="2"/>
  <c r="E322" i="2"/>
  <c r="H322" i="2"/>
  <c r="I322" i="2"/>
  <c r="J322" i="2"/>
  <c r="K322" i="2"/>
  <c r="A323" i="2"/>
  <c r="H323" i="2" s="1"/>
  <c r="B323" i="2"/>
  <c r="C323" i="2"/>
  <c r="D323" i="2"/>
  <c r="E323" i="2"/>
  <c r="I323" i="2"/>
  <c r="J323" i="2"/>
  <c r="K323" i="2"/>
  <c r="A324" i="2"/>
  <c r="H324" i="2" s="1"/>
  <c r="B324" i="2"/>
  <c r="I324" i="2" s="1"/>
  <c r="C324" i="2"/>
  <c r="D324" i="2"/>
  <c r="E324" i="2"/>
  <c r="J324" i="2"/>
  <c r="K324" i="2"/>
  <c r="A325" i="2"/>
  <c r="H325" i="2" s="1"/>
  <c r="B325" i="2"/>
  <c r="I325" i="2" s="1"/>
  <c r="C325" i="2"/>
  <c r="D325" i="2"/>
  <c r="E325" i="2"/>
  <c r="J325" i="2"/>
  <c r="K325" i="2"/>
  <c r="A326" i="2"/>
  <c r="B326" i="2"/>
  <c r="C326" i="2"/>
  <c r="D326" i="2"/>
  <c r="E326" i="2"/>
  <c r="H326" i="2"/>
  <c r="I326" i="2"/>
  <c r="J326" i="2"/>
  <c r="K326" i="2"/>
  <c r="A327" i="2"/>
  <c r="B327" i="2"/>
  <c r="I327" i="2" s="1"/>
  <c r="C327" i="2"/>
  <c r="D327" i="2"/>
  <c r="E327" i="2"/>
  <c r="H327" i="2"/>
  <c r="J327" i="2"/>
  <c r="K327" i="2"/>
  <c r="A328" i="2"/>
  <c r="H328" i="2" s="1"/>
  <c r="B328" i="2"/>
  <c r="I328" i="2" s="1"/>
  <c r="C328" i="2"/>
  <c r="D328" i="2"/>
  <c r="E328" i="2"/>
  <c r="J328" i="2"/>
  <c r="K328" i="2"/>
  <c r="A329" i="2"/>
  <c r="H329" i="2" s="1"/>
  <c r="B329" i="2"/>
  <c r="C329" i="2"/>
  <c r="D329" i="2"/>
  <c r="E329" i="2"/>
  <c r="I329" i="2"/>
  <c r="J329" i="2"/>
  <c r="K329" i="2"/>
  <c r="A330" i="2"/>
  <c r="B330" i="2"/>
  <c r="C330" i="2"/>
  <c r="D330" i="2"/>
  <c r="E330" i="2"/>
  <c r="H330" i="2"/>
  <c r="I330" i="2"/>
  <c r="J330" i="2"/>
  <c r="K330" i="2"/>
  <c r="A331" i="2"/>
  <c r="H331" i="2" s="1"/>
  <c r="B331" i="2"/>
  <c r="C331" i="2"/>
  <c r="D331" i="2"/>
  <c r="E331" i="2"/>
  <c r="I331" i="2"/>
  <c r="J331" i="2"/>
  <c r="K331" i="2"/>
  <c r="A332" i="2"/>
  <c r="H332" i="2" s="1"/>
  <c r="B332" i="2"/>
  <c r="I332" i="2" s="1"/>
  <c r="C332" i="2"/>
  <c r="D332" i="2"/>
  <c r="E332" i="2"/>
  <c r="J332" i="2"/>
  <c r="K332" i="2"/>
  <c r="A333" i="2"/>
  <c r="H333" i="2" s="1"/>
  <c r="B333" i="2"/>
  <c r="C333" i="2"/>
  <c r="D333" i="2"/>
  <c r="E333" i="2"/>
  <c r="I333" i="2"/>
  <c r="J333" i="2"/>
  <c r="K333" i="2"/>
  <c r="A334" i="2"/>
  <c r="H334" i="2" s="1"/>
  <c r="B334" i="2"/>
  <c r="C334" i="2"/>
  <c r="D334" i="2"/>
  <c r="E334" i="2"/>
  <c r="I334" i="2"/>
  <c r="J334" i="2"/>
  <c r="K334" i="2"/>
  <c r="A335" i="2"/>
  <c r="H335" i="2" s="1"/>
  <c r="B335" i="2"/>
  <c r="I335" i="2" s="1"/>
  <c r="C335" i="2"/>
  <c r="D335" i="2"/>
  <c r="E335" i="2"/>
  <c r="J335" i="2"/>
  <c r="K335" i="2"/>
  <c r="A336" i="2"/>
  <c r="B336" i="2"/>
  <c r="I336" i="2" s="1"/>
  <c r="C336" i="2"/>
  <c r="D336" i="2"/>
  <c r="E336" i="2"/>
  <c r="H336" i="2"/>
  <c r="J336" i="2"/>
  <c r="K336" i="2"/>
  <c r="A337" i="2"/>
  <c r="H337" i="2" s="1"/>
  <c r="B337" i="2"/>
  <c r="C337" i="2"/>
  <c r="D337" i="2"/>
  <c r="E337" i="2"/>
  <c r="I337" i="2"/>
  <c r="J337" i="2"/>
  <c r="K337" i="2"/>
  <c r="A338" i="2"/>
  <c r="B338" i="2"/>
  <c r="I338" i="2" s="1"/>
  <c r="C338" i="2"/>
  <c r="D338" i="2"/>
  <c r="E338" i="2"/>
  <c r="H338" i="2"/>
  <c r="J338" i="2"/>
  <c r="K338" i="2"/>
  <c r="A339" i="2"/>
  <c r="H339" i="2" s="1"/>
  <c r="B339" i="2"/>
  <c r="I339" i="2" s="1"/>
  <c r="C339" i="2"/>
  <c r="D339" i="2"/>
  <c r="E339" i="2"/>
  <c r="J339" i="2"/>
  <c r="K339" i="2"/>
  <c r="A340" i="2"/>
  <c r="B340" i="2"/>
  <c r="C340" i="2"/>
  <c r="D340" i="2"/>
  <c r="E340" i="2"/>
  <c r="H340" i="2"/>
  <c r="I340" i="2"/>
  <c r="J340" i="2"/>
  <c r="K340" i="2"/>
  <c r="A341" i="2"/>
  <c r="H341" i="2" s="1"/>
  <c r="B341" i="2"/>
  <c r="C341" i="2"/>
  <c r="D341" i="2"/>
  <c r="E341" i="2"/>
  <c r="I341" i="2"/>
  <c r="J341" i="2"/>
  <c r="K341" i="2"/>
  <c r="A342" i="2"/>
  <c r="H342" i="2" s="1"/>
  <c r="B342" i="2"/>
  <c r="C342" i="2"/>
  <c r="D342" i="2"/>
  <c r="E342" i="2"/>
  <c r="I342" i="2"/>
  <c r="J342" i="2"/>
  <c r="K342" i="2"/>
  <c r="A343" i="2"/>
  <c r="H343" i="2" s="1"/>
  <c r="B343" i="2"/>
  <c r="I343" i="2" s="1"/>
  <c r="C343" i="2"/>
  <c r="D343" i="2"/>
  <c r="E343" i="2"/>
  <c r="J343" i="2"/>
  <c r="K343" i="2"/>
  <c r="A344" i="2"/>
  <c r="B344" i="2"/>
  <c r="C344" i="2"/>
  <c r="D344" i="2"/>
  <c r="E344" i="2"/>
  <c r="H344" i="2"/>
  <c r="I344" i="2"/>
  <c r="J344" i="2"/>
  <c r="K344" i="2"/>
  <c r="K4" i="2"/>
  <c r="J4" i="2"/>
  <c r="E4" i="2"/>
  <c r="D4" i="2"/>
  <c r="C4" i="2"/>
  <c r="B4" i="2"/>
  <c r="A4" i="2"/>
  <c r="I4" i="2" l="1"/>
  <c r="S9" i="2"/>
  <c r="S8" i="2"/>
  <c r="S7" i="2"/>
  <c r="S6" i="2"/>
  <c r="S5" i="2"/>
  <c r="S4" i="2"/>
  <c r="S3" i="2"/>
  <c r="H4" i="2"/>
</calcChain>
</file>

<file path=xl/sharedStrings.xml><?xml version="1.0" encoding="utf-8"?>
<sst xmlns="http://schemas.openxmlformats.org/spreadsheetml/2006/main" count="29" uniqueCount="26">
  <si>
    <t>TABLE OF SECTION DEPTHS</t>
  </si>
  <si>
    <t>Span
No.</t>
  </si>
  <si>
    <t>Beam
No.</t>
  </si>
  <si>
    <t>"X" 
at ¡ of Brg</t>
  </si>
  <si>
    <t>"Y"
at ¡ of Brg</t>
  </si>
  <si>
    <t>"Z"
at ¡ of Span</t>
  </si>
  <si>
    <t>X</t>
  </si>
  <si>
    <t>Y</t>
  </si>
  <si>
    <t>Z</t>
  </si>
  <si>
    <t>"A"</t>
  </si>
  <si>
    <t>"B"</t>
  </si>
  <si>
    <t>Ft</t>
  </si>
  <si>
    <t>A</t>
  </si>
  <si>
    <t>B</t>
  </si>
  <si>
    <t>Fractions</t>
  </si>
  <si>
    <t>Column1</t>
  </si>
  <si>
    <t>ƃ</t>
  </si>
  <si>
    <t>Ɓ</t>
  </si>
  <si>
    <t>Ƅ</t>
  </si>
  <si>
    <t>ƀ</t>
  </si>
  <si>
    <t>ƅ</t>
  </si>
  <si>
    <t>Ƃ</t>
  </si>
  <si>
    <t>Ɔ</t>
  </si>
  <si>
    <t>Span</t>
  </si>
  <si>
    <t>Haunch Data and Deflection Data</t>
  </si>
  <si>
    <t>Beam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</si>
</sst>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FDOT"/>
    </font>
    <font>
      <sz val="17"/>
      <color theme="1"/>
      <name val="FDOT Bold"/>
    </font>
    <font>
      <sz val="11"/>
      <color theme="1"/>
      <name val="FDOT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1" fillId="0" borderId="0" xfId="1" applyAlignment="1">
      <alignment horizontal="center"/>
    </xf>
    <xf numFmtId="0" fontId="1" fillId="0" borderId="0" xfId="1"/>
    <xf numFmtId="0" fontId="4" fillId="0" borderId="0" xfId="1" applyFont="1"/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5" xfId="1" applyFont="1" applyBorder="1" applyAlignment="1">
      <alignment horizontal="center" vertical="center" wrapText="1"/>
    </xf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</cellXfs>
  <cellStyles count="2">
    <cellStyle name="Normal" xfId="0" builtinId="0"/>
    <cellStyle name="Normal 2 2" xfId="1" xr:uid="{3A4B09AF-5D82-40EA-A16F-14CE3F99B5B4}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DOT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0FF4C7-62BD-43E8-80D2-22AF4348B002}" name="fract" displayName="fract" ref="S2:T9" totalsRowShown="0">
  <autoFilter ref="S2:T9" xr:uid="{DF27C42E-8BCE-40AF-BBA4-B3872D77D743}"/>
  <tableColumns count="2">
    <tableColumn id="1" xr3:uid="{A0235351-7975-41E6-8240-FB720FACAB92}" name="Fractions"/>
    <tableColumn id="2" xr3:uid="{A1C0D087-EFF3-46C8-A605-9C01D96DCCEF}" name="Column1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ED4A7-3002-4E0D-95CC-971CCE6B68CE}">
  <dimension ref="A1:G7"/>
  <sheetViews>
    <sheetView workbookViewId="0">
      <selection activeCell="G15" sqref="G15"/>
    </sheetView>
  </sheetViews>
  <sheetFormatPr defaultRowHeight="15" x14ac:dyDescent="0.25"/>
  <sheetData>
    <row r="1" spans="1:7" x14ac:dyDescent="0.25">
      <c r="A1" s="15" t="s">
        <v>24</v>
      </c>
      <c r="B1" s="15"/>
      <c r="C1" s="15"/>
      <c r="D1" s="15"/>
      <c r="E1" s="15"/>
      <c r="F1" s="15"/>
      <c r="G1" s="15"/>
    </row>
    <row r="2" spans="1:7" x14ac:dyDescent="0.25">
      <c r="A2" s="14" t="s">
        <v>23</v>
      </c>
      <c r="B2" s="14" t="s">
        <v>25</v>
      </c>
      <c r="C2" s="1" t="s">
        <v>6</v>
      </c>
      <c r="D2" s="1" t="s">
        <v>7</v>
      </c>
      <c r="E2" s="1" t="s">
        <v>8</v>
      </c>
      <c r="F2" s="1" t="s">
        <v>12</v>
      </c>
      <c r="G2" s="1" t="s">
        <v>13</v>
      </c>
    </row>
    <row r="7" spans="1:7" ht="15.75" customHeight="1" x14ac:dyDescent="0.25"/>
  </sheetData>
  <mergeCells count="1">
    <mergeCell ref="A1:G1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69DDD-3C73-464A-9138-EA73241A06DB}">
  <dimension ref="A1:T345"/>
  <sheetViews>
    <sheetView tabSelected="1" workbookViewId="0">
      <selection activeCell="A4" sqref="A4"/>
    </sheetView>
  </sheetViews>
  <sheetFormatPr defaultRowHeight="15" x14ac:dyDescent="0.25"/>
  <cols>
    <col min="1" max="5" width="15.7109375" customWidth="1"/>
    <col min="8" max="11" width="15.7109375" customWidth="1"/>
  </cols>
  <sheetData>
    <row r="1" spans="1:20" ht="54" customHeight="1" thickTop="1" thickBot="1" x14ac:dyDescent="0.3">
      <c r="A1" s="18" t="s">
        <v>0</v>
      </c>
      <c r="B1" s="19"/>
      <c r="C1" s="19"/>
      <c r="D1" s="19"/>
      <c r="E1" s="20"/>
    </row>
    <row r="2" spans="1:20" ht="18" customHeight="1" thickTop="1" x14ac:dyDescent="0.25">
      <c r="A2" s="16" t="s">
        <v>1</v>
      </c>
      <c r="B2" s="16" t="s">
        <v>2</v>
      </c>
      <c r="C2" s="16" t="s">
        <v>3</v>
      </c>
      <c r="D2" s="16" t="s">
        <v>4</v>
      </c>
      <c r="E2" s="16" t="s">
        <v>5</v>
      </c>
      <c r="H2" s="16" t="s">
        <v>1</v>
      </c>
      <c r="I2" s="16" t="s">
        <v>2</v>
      </c>
      <c r="J2" s="2" t="s">
        <v>9</v>
      </c>
      <c r="K2" s="2" t="s">
        <v>10</v>
      </c>
      <c r="S2" s="4" t="s">
        <v>14</v>
      </c>
      <c r="T2" s="4" t="s">
        <v>15</v>
      </c>
    </row>
    <row r="3" spans="1:20" ht="18" customHeight="1" thickBot="1" x14ac:dyDescent="0.3">
      <c r="A3" s="17"/>
      <c r="B3" s="17"/>
      <c r="C3" s="17"/>
      <c r="D3" s="17"/>
      <c r="E3" s="17"/>
      <c r="H3" s="17"/>
      <c r="I3" s="17"/>
      <c r="J3" s="3" t="s">
        <v>11</v>
      </c>
      <c r="K3" s="3" t="s">
        <v>11</v>
      </c>
      <c r="S3" s="5">
        <f>ROUND(1/8,3)</f>
        <v>0.125</v>
      </c>
      <c r="T3" s="6" t="s">
        <v>16</v>
      </c>
    </row>
    <row r="4" spans="1:20" ht="18" customHeight="1" thickTop="1" x14ac:dyDescent="0.25">
      <c r="A4" s="7" t="str">
        <f>IF(ISBLANK(Output!A3),"",Output!A3)</f>
        <v/>
      </c>
      <c r="B4" s="7" t="str">
        <f>IF(ISBLANK(Output!B3),"",Output!B3)</f>
        <v/>
      </c>
      <c r="C4" s="7" t="str">
        <f>IF(ISNUMBER(Output!C3),IF(Output!C3&gt;=12,IFERROR(ROUND(INT(Output!C3)/12,0)&amp;"'-"&amp;INT(ROUND((Output!C3/12-INT(Output!C3/12))*12,2))&amp;" "&amp;IF(MROUND(ROUND((Output!C3/12-INT(Output!C3/12))*12,3)-INT(ROUND((Output!C3/12-INT(Output!C3/12))*12,3)),1/8)=0,"",VLOOKUP(MROUND((Output!C3/12-INT(Output!C3/12))*12-INT((Output!C3/12-INT(Output!C3/12))*12),1/8),fract[],2,FALSE))&amp;"''",""),IFERROR(INT(Output!C3)&amp;" "&amp;IF(MROUND((Output!C3-INT(Output!C3)),1/8)=0,"",VLOOKUP(MROUND((Output!C3-INT(Output!C3)),1/8),fract[],2,FALSE))&amp;"''","")),"")</f>
        <v/>
      </c>
      <c r="D4" s="7" t="str">
        <f>IF(ISNUMBER(Output!D3),IFERROR(ROUND(INT(Output!D3/12),3)&amp;"'-"&amp;INT(ROUND((Output!D3/12-INT(Output!D3/12))*12,3))&amp;" "&amp;IF(MROUND(ROUND((Output!D3/12-INT(Output!D3/12))*12,3)-INT(ROUND((Output!D3/12-INT(Output!D3/12))*12,3)),1/8)=0,"",VLOOKUP(MROUND((Output!D3/12-INT(Output!D3/12))*12-INT((Output!D3/12-INT(Output!D3/12))*12),1/8),fract[],2,FALSE))&amp;"''",""),"")</f>
        <v/>
      </c>
      <c r="E4" s="7" t="str">
        <f>IF(ISNUMBER(Output!E3),IF(Output!E3&gt;=12,IFERROR(ROUND(INT(Output!E3)/12,0)&amp;"'-"&amp;INT(ROUND((Output!E3/12-INT(Output!E3/12))*12,2))&amp;" "&amp;IF(MROUND(ROUND((Output!E3/12-INT(Output!E3/12))*12,3)-INT(ROUND((Output!E3/12-INT(Output!E3/12))*12,3)),1/8)=0,"",VLOOKUP(MROUND((Output!E3/12-INT(Output!E3/12))*12-INT((Output!E3/12-INT(Output!E3/12))*12),1/8),fract[],2,FALSE))&amp;"''",""),IFERROR(INT(Output!E3)&amp;" "&amp;IF(MROUND((Output!E3-INT(Output!E3)),1/8)=0,"",VLOOKUP(MROUND((Output!E3-INT(Output!E3)),1/8),fract[],2,FALSE))&amp;"''","")),"")</f>
        <v/>
      </c>
      <c r="F4" s="8"/>
      <c r="G4" s="8"/>
      <c r="H4" s="7" t="str">
        <f>A4</f>
        <v/>
      </c>
      <c r="I4" s="7" t="str">
        <f>B4</f>
        <v/>
      </c>
      <c r="J4" s="11" t="str">
        <f>IF(ISNUMBER(Output!F3),Output!F3,"")</f>
        <v/>
      </c>
      <c r="K4" s="11" t="str">
        <f>IF(ISNUMBER(Output!G3),Output!G3,"")</f>
        <v/>
      </c>
      <c r="S4" s="5">
        <f>ROUND(2/8,3)</f>
        <v>0.25</v>
      </c>
      <c r="T4" s="6" t="s">
        <v>17</v>
      </c>
    </row>
    <row r="5" spans="1:20" ht="18" customHeight="1" x14ac:dyDescent="0.25">
      <c r="A5" s="9" t="str">
        <f>IF(ISBLANK(Output!A4),"",Output!A4)</f>
        <v/>
      </c>
      <c r="B5" s="9" t="str">
        <f>IF(ISBLANK(Output!B4),"",Output!B4)</f>
        <v/>
      </c>
      <c r="C5" s="9" t="str">
        <f>IF(ISNUMBER(Output!C4),IF(Output!C4&gt;=12,IFERROR(ROUND(INT(Output!C4)/12,0)&amp;"'-"&amp;INT(ROUND((Output!C4/12-INT(Output!C4/12))*12,2))&amp;" "&amp;IF(MROUND(ROUND((Output!C4/12-INT(Output!C4/12))*12,3)-INT(ROUND((Output!C4/12-INT(Output!C4/12))*12,3)),1/8)=0,"",VLOOKUP(MROUND((Output!C4/12-INT(Output!C4/12))*12-INT((Output!C4/12-INT(Output!C4/12))*12),1/8),fract[],2,FALSE))&amp;"''",""),IFERROR(INT(Output!C4)&amp;" "&amp;IF(MROUND((Output!C4-INT(Output!C4)),1/8)=0,"",VLOOKUP(MROUND((Output!C4-INT(Output!C4)),1/8),fract[],2,FALSE))&amp;"''","")),"")</f>
        <v/>
      </c>
      <c r="D5" s="9" t="str">
        <f>IF(ISNUMBER(Output!D4),IFERROR(ROUND(INT(Output!D4/12),3)&amp;"'-"&amp;INT(ROUND((Output!D4/12-INT(Output!D4/12))*12,3))&amp;" "&amp;IF(MROUND(ROUND((Output!D4/12-INT(Output!D4/12))*12,3)-INT(ROUND((Output!D4/12-INT(Output!D4/12))*12,3)),1/8)=0,"",VLOOKUP(MROUND((Output!D4/12-INT(Output!D4/12))*12-INT((Output!D4/12-INT(Output!D4/12))*12),1/8),fract[],2,FALSE))&amp;"''",""),"")</f>
        <v/>
      </c>
      <c r="E5" s="9" t="str">
        <f>IF(ISNUMBER(Output!E4),IF(Output!E4&gt;=12,IFERROR(ROUND(INT(Output!E4)/12,0)&amp;"'-"&amp;INT(ROUND((Output!E4/12-INT(Output!E4/12))*12,2))&amp;" "&amp;IF(MROUND(ROUND((Output!E4/12-INT(Output!E4/12))*12,3)-INT(ROUND((Output!E4/12-INT(Output!E4/12))*12,3)),1/8)=0,"",VLOOKUP(MROUND((Output!E4/12-INT(Output!E4/12))*12-INT((Output!E4/12-INT(Output!E4/12))*12),1/8),fract[],2,FALSE))&amp;"''",""),IFERROR(INT(Output!E4)&amp;" "&amp;IF(MROUND((Output!E4-INT(Output!E4)),1/8)=0,"",VLOOKUP(MROUND((Output!E4-INT(Output!E4)),1/8),fract[],2,FALSE))&amp;"''","")),"")</f>
        <v/>
      </c>
      <c r="F5" s="8"/>
      <c r="G5" s="8"/>
      <c r="H5" s="9" t="str">
        <f t="shared" ref="H5:H68" si="0">A5</f>
        <v/>
      </c>
      <c r="I5" s="9" t="str">
        <f t="shared" ref="I5:I68" si="1">B5</f>
        <v/>
      </c>
      <c r="J5" s="12" t="str">
        <f>IF(ISNUMBER(Output!F4),Output!F4,"")</f>
        <v/>
      </c>
      <c r="K5" s="12" t="str">
        <f>IF(ISNUMBER(Output!G4),Output!G4,"")</f>
        <v/>
      </c>
      <c r="S5" s="5">
        <f>ROUND(3/8,3)</f>
        <v>0.375</v>
      </c>
      <c r="T5" s="6" t="s">
        <v>18</v>
      </c>
    </row>
    <row r="6" spans="1:20" ht="18" customHeight="1" x14ac:dyDescent="0.25">
      <c r="A6" s="9" t="str">
        <f>IF(ISBLANK(Output!A5),"",Output!A5)</f>
        <v/>
      </c>
      <c r="B6" s="9" t="str">
        <f>IF(ISBLANK(Output!B5),"",Output!B5)</f>
        <v/>
      </c>
      <c r="C6" s="9" t="str">
        <f>IF(ISNUMBER(Output!C5),IF(Output!C5&gt;=12,IFERROR(ROUND(INT(Output!C5)/12,0)&amp;"'-"&amp;INT(ROUND((Output!C5/12-INT(Output!C5/12))*12,2))&amp;" "&amp;IF(MROUND(ROUND((Output!C5/12-INT(Output!C5/12))*12,3)-INT(ROUND((Output!C5/12-INT(Output!C5/12))*12,3)),1/8)=0,"",VLOOKUP(MROUND((Output!C5/12-INT(Output!C5/12))*12-INT((Output!C5/12-INT(Output!C5/12))*12),1/8),fract[],2,FALSE))&amp;"''",""),IFERROR(INT(Output!C5)&amp;" "&amp;IF(MROUND((Output!C5-INT(Output!C5)),1/8)=0,"",VLOOKUP(MROUND((Output!C5-INT(Output!C5)),1/8),fract[],2,FALSE))&amp;"''","")),"")</f>
        <v/>
      </c>
      <c r="D6" s="9" t="str">
        <f>IF(ISNUMBER(Output!D5),IFERROR(ROUND(INT(Output!D5/12),3)&amp;"'-"&amp;INT(ROUND((Output!D5/12-INT(Output!D5/12))*12,3))&amp;" "&amp;IF(MROUND(ROUND((Output!D5/12-INT(Output!D5/12))*12,3)-INT(ROUND((Output!D5/12-INT(Output!D5/12))*12,3)),1/8)=0,"",VLOOKUP(MROUND((Output!D5/12-INT(Output!D5/12))*12-INT((Output!D5/12-INT(Output!D5/12))*12),1/8),fract[],2,FALSE))&amp;"''",""),"")</f>
        <v/>
      </c>
      <c r="E6" s="9" t="str">
        <f>IF(ISNUMBER(Output!E5),IF(Output!E5&gt;=12,IFERROR(ROUND(INT(Output!E5)/12,0)&amp;"'-"&amp;INT(ROUND((Output!E5/12-INT(Output!E5/12))*12,2))&amp;" "&amp;IF(MROUND(ROUND((Output!E5/12-INT(Output!E5/12))*12,3)-INT(ROUND((Output!E5/12-INT(Output!E5/12))*12,3)),1/8)=0,"",VLOOKUP(MROUND((Output!E5/12-INT(Output!E5/12))*12-INT((Output!E5/12-INT(Output!E5/12))*12),1/8),fract[],2,FALSE))&amp;"''",""),IFERROR(INT(Output!E5)&amp;" "&amp;IF(MROUND((Output!E5-INT(Output!E5)),1/8)=0,"",VLOOKUP(MROUND((Output!E5-INT(Output!E5)),1/8),fract[],2,FALSE))&amp;"''","")),"")</f>
        <v/>
      </c>
      <c r="F6" s="8"/>
      <c r="G6" s="8"/>
      <c r="H6" s="9" t="str">
        <f t="shared" si="0"/>
        <v/>
      </c>
      <c r="I6" s="9" t="str">
        <f t="shared" si="1"/>
        <v/>
      </c>
      <c r="J6" s="12" t="str">
        <f>IF(ISNUMBER(Output!F5),Output!F5,"")</f>
        <v/>
      </c>
      <c r="K6" s="12" t="str">
        <f>IF(ISNUMBER(Output!G5),Output!G5,"")</f>
        <v/>
      </c>
      <c r="S6" s="5">
        <f>ROUND(4/8,3)</f>
        <v>0.5</v>
      </c>
      <c r="T6" s="6" t="s">
        <v>19</v>
      </c>
    </row>
    <row r="7" spans="1:20" ht="18" customHeight="1" x14ac:dyDescent="0.25">
      <c r="A7" s="9" t="str">
        <f>IF(ISBLANK(Output!A6),"",Output!A6)</f>
        <v/>
      </c>
      <c r="B7" s="9" t="str">
        <f>IF(ISBLANK(Output!B6),"",Output!B6)</f>
        <v/>
      </c>
      <c r="C7" s="9" t="str">
        <f>IF(ISNUMBER(Output!C6),IF(Output!C6&gt;=12,IFERROR(ROUND(INT(Output!C6)/12,0)&amp;"'-"&amp;INT(ROUND((Output!C6/12-INT(Output!C6/12))*12,2))&amp;" "&amp;IF(MROUND(ROUND((Output!C6/12-INT(Output!C6/12))*12,3)-INT(ROUND((Output!C6/12-INT(Output!C6/12))*12,3)),1/8)=0,"",VLOOKUP(MROUND((Output!C6/12-INT(Output!C6/12))*12-INT((Output!C6/12-INT(Output!C6/12))*12),1/8),fract[],2,FALSE))&amp;"''",""),IFERROR(INT(Output!C6)&amp;" "&amp;IF(MROUND((Output!C6-INT(Output!C6)),1/8)=0,"",VLOOKUP(MROUND((Output!C6-INT(Output!C6)),1/8),fract[],2,FALSE))&amp;"''","")),"")</f>
        <v/>
      </c>
      <c r="D7" s="9" t="str">
        <f>IF(ISNUMBER(Output!D6),IFERROR(ROUND(INT(Output!D6/12),3)&amp;"'-"&amp;INT(ROUND((Output!D6/12-INT(Output!D6/12))*12,3))&amp;" "&amp;IF(MROUND(ROUND((Output!D6/12-INT(Output!D6/12))*12,3)-INT(ROUND((Output!D6/12-INT(Output!D6/12))*12,3)),1/8)=0,"",VLOOKUP(MROUND((Output!D6/12-INT(Output!D6/12))*12-INT((Output!D6/12-INT(Output!D6/12))*12),1/8),fract[],2,FALSE))&amp;"''",""),"")</f>
        <v/>
      </c>
      <c r="E7" s="9" t="str">
        <f>IF(ISNUMBER(Output!E6),IF(Output!E6&gt;=12,IFERROR(ROUND(INT(Output!E6)/12,0)&amp;"'-"&amp;INT(ROUND((Output!E6/12-INT(Output!E6/12))*12,2))&amp;" "&amp;IF(MROUND(ROUND((Output!E6/12-INT(Output!E6/12))*12,3)-INT(ROUND((Output!E6/12-INT(Output!E6/12))*12,3)),1/8)=0,"",VLOOKUP(MROUND((Output!E6/12-INT(Output!E6/12))*12-INT((Output!E6/12-INT(Output!E6/12))*12),1/8),fract[],2,FALSE))&amp;"''",""),IFERROR(INT(Output!E6)&amp;" "&amp;IF(MROUND((Output!E6-INT(Output!E6)),1/8)=0,"",VLOOKUP(MROUND((Output!E6-INT(Output!E6)),1/8),fract[],2,FALSE))&amp;"''","")),"")</f>
        <v/>
      </c>
      <c r="F7" s="8"/>
      <c r="G7" s="8"/>
      <c r="H7" s="9" t="str">
        <f t="shared" si="0"/>
        <v/>
      </c>
      <c r="I7" s="9" t="str">
        <f t="shared" si="1"/>
        <v/>
      </c>
      <c r="J7" s="12" t="str">
        <f>IF(ISNUMBER(Output!F6),Output!F6,"")</f>
        <v/>
      </c>
      <c r="K7" s="12" t="str">
        <f>IF(ISNUMBER(Output!G6),Output!G6,"")</f>
        <v/>
      </c>
      <c r="S7" s="5">
        <f>ROUND(5/8,3)</f>
        <v>0.625</v>
      </c>
      <c r="T7" s="6" t="s">
        <v>20</v>
      </c>
    </row>
    <row r="8" spans="1:20" ht="18" customHeight="1" x14ac:dyDescent="0.25">
      <c r="A8" s="9" t="str">
        <f>IF(ISBLANK(Output!A7),"",Output!A7)</f>
        <v/>
      </c>
      <c r="B8" s="9" t="str">
        <f>IF(ISBLANK(Output!B7),"",Output!B7)</f>
        <v/>
      </c>
      <c r="C8" s="9" t="str">
        <f>IF(ISNUMBER(Output!C7),IF(Output!C7&gt;=12,IFERROR(ROUND(INT(Output!C7)/12,0)&amp;"'-"&amp;INT(ROUND((Output!C7/12-INT(Output!C7/12))*12,2))&amp;" "&amp;IF(MROUND(ROUND((Output!C7/12-INT(Output!C7/12))*12,3)-INT(ROUND((Output!C7/12-INT(Output!C7/12))*12,3)),1/8)=0,"",VLOOKUP(MROUND((Output!C7/12-INT(Output!C7/12))*12-INT((Output!C7/12-INT(Output!C7/12))*12),1/8),fract[],2,FALSE))&amp;"''",""),IFERROR(INT(Output!C7)&amp;" "&amp;IF(MROUND((Output!C7-INT(Output!C7)),1/8)=0,"",VLOOKUP(MROUND((Output!C7-INT(Output!C7)),1/8),fract[],2,FALSE))&amp;"''","")),"")</f>
        <v/>
      </c>
      <c r="D8" s="9" t="str">
        <f>IF(ISNUMBER(Output!D7),IFERROR(ROUND(INT(Output!D7/12),3)&amp;"'-"&amp;INT(ROUND((Output!D7/12-INT(Output!D7/12))*12,3))&amp;" "&amp;IF(MROUND(ROUND((Output!D7/12-INT(Output!D7/12))*12,3)-INT(ROUND((Output!D7/12-INT(Output!D7/12))*12,3)),1/8)=0,"",VLOOKUP(MROUND((Output!D7/12-INT(Output!D7/12))*12-INT((Output!D7/12-INT(Output!D7/12))*12),1/8),fract[],2,FALSE))&amp;"''",""),"")</f>
        <v/>
      </c>
      <c r="E8" s="9" t="str">
        <f>IF(ISNUMBER(Output!E7),IF(Output!E7&gt;=12,IFERROR(ROUND(INT(Output!E7)/12,0)&amp;"'-"&amp;INT(ROUND((Output!E7/12-INT(Output!E7/12))*12,2))&amp;" "&amp;IF(MROUND(ROUND((Output!E7/12-INT(Output!E7/12))*12,3)-INT(ROUND((Output!E7/12-INT(Output!E7/12))*12,3)),1/8)=0,"",VLOOKUP(MROUND((Output!E7/12-INT(Output!E7/12))*12-INT((Output!E7/12-INT(Output!E7/12))*12),1/8),fract[],2,FALSE))&amp;"''",""),IFERROR(INT(Output!E7)&amp;" "&amp;IF(MROUND((Output!E7-INT(Output!E7)),1/8)=0,"",VLOOKUP(MROUND((Output!E7-INT(Output!E7)),1/8),fract[],2,FALSE))&amp;"''","")),"")</f>
        <v/>
      </c>
      <c r="F8" s="8"/>
      <c r="G8" s="8"/>
      <c r="H8" s="9" t="str">
        <f t="shared" si="0"/>
        <v/>
      </c>
      <c r="I8" s="9" t="str">
        <f t="shared" si="1"/>
        <v/>
      </c>
      <c r="J8" s="12" t="str">
        <f>IF(ISNUMBER(Output!F7),Output!F7,"")</f>
        <v/>
      </c>
      <c r="K8" s="12" t="str">
        <f>IF(ISNUMBER(Output!G7),Output!G7,"")</f>
        <v/>
      </c>
      <c r="S8" s="5">
        <f>ROUND(6/8,3)</f>
        <v>0.75</v>
      </c>
      <c r="T8" s="6" t="s">
        <v>21</v>
      </c>
    </row>
    <row r="9" spans="1:20" ht="18" customHeight="1" x14ac:dyDescent="0.25">
      <c r="A9" s="9" t="str">
        <f>IF(ISBLANK(Output!A8),"",Output!A8)</f>
        <v/>
      </c>
      <c r="B9" s="9" t="str">
        <f>IF(ISBLANK(Output!B8),"",Output!B8)</f>
        <v/>
      </c>
      <c r="C9" s="9" t="str">
        <f>IF(ISNUMBER(Output!C8),IF(Output!C8&gt;=12,IFERROR(ROUND(INT(Output!C8)/12,0)&amp;"'-"&amp;INT(ROUND((Output!C8/12-INT(Output!C8/12))*12,2))&amp;" "&amp;IF(MROUND(ROUND((Output!C8/12-INT(Output!C8/12))*12,3)-INT(ROUND((Output!C8/12-INT(Output!C8/12))*12,3)),1/8)=0,"",VLOOKUP(MROUND((Output!C8/12-INT(Output!C8/12))*12-INT((Output!C8/12-INT(Output!C8/12))*12),1/8),fract[],2,FALSE))&amp;"''",""),IFERROR(INT(Output!C8)&amp;" "&amp;IF(MROUND((Output!C8-INT(Output!C8)),1/8)=0,"",VLOOKUP(MROUND((Output!C8-INT(Output!C8)),1/8),fract[],2,FALSE))&amp;"''","")),"")</f>
        <v/>
      </c>
      <c r="D9" s="9" t="str">
        <f>IF(ISNUMBER(Output!D8),IFERROR(ROUND(INT(Output!D8/12),3)&amp;"'-"&amp;INT(ROUND((Output!D8/12-INT(Output!D8/12))*12,3))&amp;" "&amp;IF(MROUND(ROUND((Output!D8/12-INT(Output!D8/12))*12,3)-INT(ROUND((Output!D8/12-INT(Output!D8/12))*12,3)),1/8)=0,"",VLOOKUP(MROUND((Output!D8/12-INT(Output!D8/12))*12-INT((Output!D8/12-INT(Output!D8/12))*12),1/8),fract[],2,FALSE))&amp;"''",""),"")</f>
        <v/>
      </c>
      <c r="E9" s="9" t="str">
        <f>IF(ISNUMBER(Output!E8),IF(Output!E8&gt;=12,IFERROR(ROUND(INT(Output!E8)/12,0)&amp;"'-"&amp;INT(ROUND((Output!E8/12-INT(Output!E8/12))*12,2))&amp;" "&amp;IF(MROUND(ROUND((Output!E8/12-INT(Output!E8/12))*12,3)-INT(ROUND((Output!E8/12-INT(Output!E8/12))*12,3)),1/8)=0,"",VLOOKUP(MROUND((Output!E8/12-INT(Output!E8/12))*12-INT((Output!E8/12-INT(Output!E8/12))*12),1/8),fract[],2,FALSE))&amp;"''",""),IFERROR(INT(Output!E8)&amp;" "&amp;IF(MROUND((Output!E8-INT(Output!E8)),1/8)=0,"",VLOOKUP(MROUND((Output!E8-INT(Output!E8)),1/8),fract[],2,FALSE))&amp;"''","")),"")</f>
        <v/>
      </c>
      <c r="F9" s="8"/>
      <c r="G9" s="8"/>
      <c r="H9" s="9" t="str">
        <f t="shared" si="0"/>
        <v/>
      </c>
      <c r="I9" s="9" t="str">
        <f t="shared" si="1"/>
        <v/>
      </c>
      <c r="J9" s="12" t="str">
        <f>IF(ISNUMBER(Output!F8),Output!F8,"")</f>
        <v/>
      </c>
      <c r="K9" s="12" t="str">
        <f>IF(ISNUMBER(Output!G8),Output!G8,"")</f>
        <v/>
      </c>
      <c r="S9" s="5">
        <f>ROUND(7/8,3)</f>
        <v>0.875</v>
      </c>
      <c r="T9" s="6" t="s">
        <v>22</v>
      </c>
    </row>
    <row r="10" spans="1:20" ht="18" customHeight="1" x14ac:dyDescent="0.25">
      <c r="A10" s="9" t="str">
        <f>IF(ISBLANK(Output!A9),"",Output!A9)</f>
        <v/>
      </c>
      <c r="B10" s="9" t="str">
        <f>IF(ISBLANK(Output!B9),"",Output!B9)</f>
        <v/>
      </c>
      <c r="C10" s="9" t="str">
        <f>IF(ISNUMBER(Output!C9),IF(Output!C9&gt;=12,IFERROR(ROUND(INT(Output!C9)/12,0)&amp;"'-"&amp;INT(ROUND((Output!C9/12-INT(Output!C9/12))*12,2))&amp;" "&amp;IF(MROUND(ROUND((Output!C9/12-INT(Output!C9/12))*12,3)-INT(ROUND((Output!C9/12-INT(Output!C9/12))*12,3)),1/8)=0,"",VLOOKUP(MROUND((Output!C9/12-INT(Output!C9/12))*12-INT((Output!C9/12-INT(Output!C9/12))*12),1/8),fract[],2,FALSE))&amp;"''",""),IFERROR(INT(Output!C9)&amp;" "&amp;IF(MROUND((Output!C9-INT(Output!C9)),1/8)=0,"",VLOOKUP(MROUND((Output!C9-INT(Output!C9)),1/8),fract[],2,FALSE))&amp;"''","")),"")</f>
        <v/>
      </c>
      <c r="D10" s="9" t="str">
        <f>IF(ISNUMBER(Output!D9),IFERROR(ROUND(INT(Output!D9/12),3)&amp;"'-"&amp;INT(ROUND((Output!D9/12-INT(Output!D9/12))*12,3))&amp;" "&amp;IF(MROUND(ROUND((Output!D9/12-INT(Output!D9/12))*12,3)-INT(ROUND((Output!D9/12-INT(Output!D9/12))*12,3)),1/8)=0,"",VLOOKUP(MROUND((Output!D9/12-INT(Output!D9/12))*12-INT((Output!D9/12-INT(Output!D9/12))*12),1/8),fract[],2,FALSE))&amp;"''",""),"")</f>
        <v/>
      </c>
      <c r="E10" s="9" t="str">
        <f>IF(ISNUMBER(Output!E9),IF(Output!E9&gt;=12,IFERROR(ROUND(INT(Output!E9)/12,0)&amp;"'-"&amp;INT(ROUND((Output!E9/12-INT(Output!E9/12))*12,2))&amp;" "&amp;IF(MROUND(ROUND((Output!E9/12-INT(Output!E9/12))*12,3)-INT(ROUND((Output!E9/12-INT(Output!E9/12))*12,3)),1/8)=0,"",VLOOKUP(MROUND((Output!E9/12-INT(Output!E9/12))*12-INT((Output!E9/12-INT(Output!E9/12))*12),1/8),fract[],2,FALSE))&amp;"''",""),IFERROR(INT(Output!E9)&amp;" "&amp;IF(MROUND((Output!E9-INT(Output!E9)),1/8)=0,"",VLOOKUP(MROUND((Output!E9-INT(Output!E9)),1/8),fract[],2,FALSE))&amp;"''","")),"")</f>
        <v/>
      </c>
      <c r="F10" s="8"/>
      <c r="G10" s="8"/>
      <c r="H10" s="9" t="str">
        <f t="shared" si="0"/>
        <v/>
      </c>
      <c r="I10" s="9" t="str">
        <f t="shared" si="1"/>
        <v/>
      </c>
      <c r="J10" s="12" t="str">
        <f>IF(ISNUMBER(Output!F9),Output!F9,"")</f>
        <v/>
      </c>
      <c r="K10" s="12" t="str">
        <f>IF(ISNUMBER(Output!G9),Output!G9,"")</f>
        <v/>
      </c>
    </row>
    <row r="11" spans="1:20" ht="18" customHeight="1" x14ac:dyDescent="0.25">
      <c r="A11" s="9" t="str">
        <f>IF(ISBLANK(Output!A10),"",Output!A10)</f>
        <v/>
      </c>
      <c r="B11" s="9" t="str">
        <f>IF(ISBLANK(Output!B10),"",Output!B10)</f>
        <v/>
      </c>
      <c r="C11" s="9" t="str">
        <f>IF(ISNUMBER(Output!C10),IF(Output!C10&gt;=12,IFERROR(ROUND(INT(Output!C10)/12,0)&amp;"'-"&amp;INT(ROUND((Output!C10/12-INT(Output!C10/12))*12,2))&amp;" "&amp;IF(MROUND(ROUND((Output!C10/12-INT(Output!C10/12))*12,3)-INT(ROUND((Output!C10/12-INT(Output!C10/12))*12,3)),1/8)=0,"",VLOOKUP(MROUND((Output!C10/12-INT(Output!C10/12))*12-INT((Output!C10/12-INT(Output!C10/12))*12),1/8),fract[],2,FALSE))&amp;"''",""),IFERROR(INT(Output!C10)&amp;" "&amp;IF(MROUND((Output!C10-INT(Output!C10)),1/8)=0,"",VLOOKUP(MROUND((Output!C10-INT(Output!C10)),1/8),fract[],2,FALSE))&amp;"''","")),"")</f>
        <v/>
      </c>
      <c r="D11" s="9" t="str">
        <f>IF(ISNUMBER(Output!D10),IFERROR(ROUND(INT(Output!D10/12),3)&amp;"'-"&amp;INT(ROUND((Output!D10/12-INT(Output!D10/12))*12,3))&amp;" "&amp;IF(MROUND(ROUND((Output!D10/12-INT(Output!D10/12))*12,3)-INT(ROUND((Output!D10/12-INT(Output!D10/12))*12,3)),1/8)=0,"",VLOOKUP(MROUND((Output!D10/12-INT(Output!D10/12))*12-INT((Output!D10/12-INT(Output!D10/12))*12),1/8),fract[],2,FALSE))&amp;"''",""),"")</f>
        <v/>
      </c>
      <c r="E11" s="9" t="str">
        <f>IF(ISNUMBER(Output!E10),IF(Output!E10&gt;=12,IFERROR(ROUND(INT(Output!E10)/12,0)&amp;"'-"&amp;INT(ROUND((Output!E10/12-INT(Output!E10/12))*12,2))&amp;" "&amp;IF(MROUND(ROUND((Output!E10/12-INT(Output!E10/12))*12,3)-INT(ROUND((Output!E10/12-INT(Output!E10/12))*12,3)),1/8)=0,"",VLOOKUP(MROUND((Output!E10/12-INT(Output!E10/12))*12-INT((Output!E10/12-INT(Output!E10/12))*12),1/8),fract[],2,FALSE))&amp;"''",""),IFERROR(INT(Output!E10)&amp;" "&amp;IF(MROUND((Output!E10-INT(Output!E10)),1/8)=0,"",VLOOKUP(MROUND((Output!E10-INT(Output!E10)),1/8),fract[],2,FALSE))&amp;"''","")),"")</f>
        <v/>
      </c>
      <c r="F11" s="8"/>
      <c r="G11" s="8"/>
      <c r="H11" s="9" t="str">
        <f t="shared" si="0"/>
        <v/>
      </c>
      <c r="I11" s="9" t="str">
        <f t="shared" si="1"/>
        <v/>
      </c>
      <c r="J11" s="12" t="str">
        <f>IF(ISNUMBER(Output!F10),Output!F10,"")</f>
        <v/>
      </c>
      <c r="K11" s="12" t="str">
        <f>IF(ISNUMBER(Output!G10),Output!G10,"")</f>
        <v/>
      </c>
    </row>
    <row r="12" spans="1:20" ht="18" customHeight="1" x14ac:dyDescent="0.25">
      <c r="A12" s="9" t="str">
        <f>IF(ISBLANK(Output!A11),"",Output!A11)</f>
        <v/>
      </c>
      <c r="B12" s="9" t="str">
        <f>IF(ISBLANK(Output!B11),"",Output!B11)</f>
        <v/>
      </c>
      <c r="C12" s="9" t="str">
        <f>IF(ISNUMBER(Output!C11),IF(Output!C11&gt;=12,IFERROR(ROUND(INT(Output!C11)/12,0)&amp;"'-"&amp;INT(ROUND((Output!C11/12-INT(Output!C11/12))*12,2))&amp;" "&amp;IF(MROUND(ROUND((Output!C11/12-INT(Output!C11/12))*12,3)-INT(ROUND((Output!C11/12-INT(Output!C11/12))*12,3)),1/8)=0,"",VLOOKUP(MROUND((Output!C11/12-INT(Output!C11/12))*12-INT((Output!C11/12-INT(Output!C11/12))*12),1/8),fract[],2,FALSE))&amp;"''",""),IFERROR(INT(Output!C11)&amp;" "&amp;IF(MROUND((Output!C11-INT(Output!C11)),1/8)=0,"",VLOOKUP(MROUND((Output!C11-INT(Output!C11)),1/8),fract[],2,FALSE))&amp;"''","")),"")</f>
        <v/>
      </c>
      <c r="D12" s="9" t="str">
        <f>IF(ISNUMBER(Output!D11),IFERROR(ROUND(INT(Output!D11/12),3)&amp;"'-"&amp;INT(ROUND((Output!D11/12-INT(Output!D11/12))*12,3))&amp;" "&amp;IF(MROUND(ROUND((Output!D11/12-INT(Output!D11/12))*12,3)-INT(ROUND((Output!D11/12-INT(Output!D11/12))*12,3)),1/8)=0,"",VLOOKUP(MROUND((Output!D11/12-INT(Output!D11/12))*12-INT((Output!D11/12-INT(Output!D11/12))*12),1/8),fract[],2,FALSE))&amp;"''",""),"")</f>
        <v/>
      </c>
      <c r="E12" s="9" t="str">
        <f>IF(ISNUMBER(Output!E11),IF(Output!E11&gt;=12,IFERROR(ROUND(INT(Output!E11)/12,0)&amp;"'-"&amp;INT(ROUND((Output!E11/12-INT(Output!E11/12))*12,2))&amp;" "&amp;IF(MROUND(ROUND((Output!E11/12-INT(Output!E11/12))*12,3)-INT(ROUND((Output!E11/12-INT(Output!E11/12))*12,3)),1/8)=0,"",VLOOKUP(MROUND((Output!E11/12-INT(Output!E11/12))*12-INT((Output!E11/12-INT(Output!E11/12))*12),1/8),fract[],2,FALSE))&amp;"''",""),IFERROR(INT(Output!E11)&amp;" "&amp;IF(MROUND((Output!E11-INT(Output!E11)),1/8)=0,"",VLOOKUP(MROUND((Output!E11-INT(Output!E11)),1/8),fract[],2,FALSE))&amp;"''","")),"")</f>
        <v/>
      </c>
      <c r="F12" s="8"/>
      <c r="G12" s="8"/>
      <c r="H12" s="9" t="str">
        <f t="shared" si="0"/>
        <v/>
      </c>
      <c r="I12" s="9" t="str">
        <f t="shared" si="1"/>
        <v/>
      </c>
      <c r="J12" s="12" t="str">
        <f>IF(ISNUMBER(Output!F11),Output!F11,"")</f>
        <v/>
      </c>
      <c r="K12" s="12" t="str">
        <f>IF(ISNUMBER(Output!G11),Output!G11,"")</f>
        <v/>
      </c>
    </row>
    <row r="13" spans="1:20" ht="18" customHeight="1" x14ac:dyDescent="0.25">
      <c r="A13" s="9" t="str">
        <f>IF(ISBLANK(Output!A12),"",Output!A12)</f>
        <v/>
      </c>
      <c r="B13" s="9" t="str">
        <f>IF(ISBLANK(Output!B12),"",Output!B12)</f>
        <v/>
      </c>
      <c r="C13" s="9" t="str">
        <f>IF(ISNUMBER(Output!C12),IF(Output!C12&gt;=12,IFERROR(ROUND(INT(Output!C12)/12,0)&amp;"'-"&amp;INT(ROUND((Output!C12/12-INT(Output!C12/12))*12,2))&amp;" "&amp;IF(MROUND(ROUND((Output!C12/12-INT(Output!C12/12))*12,3)-INT(ROUND((Output!C12/12-INT(Output!C12/12))*12,3)),1/8)=0,"",VLOOKUP(MROUND((Output!C12/12-INT(Output!C12/12))*12-INT((Output!C12/12-INT(Output!C12/12))*12),1/8),fract[],2,FALSE))&amp;"''",""),IFERROR(INT(Output!C12)&amp;" "&amp;IF(MROUND((Output!C12-INT(Output!C12)),1/8)=0,"",VLOOKUP(MROUND((Output!C12-INT(Output!C12)),1/8),fract[],2,FALSE))&amp;"''","")),"")</f>
        <v/>
      </c>
      <c r="D13" s="9" t="str">
        <f>IF(ISNUMBER(Output!D12),IFERROR(ROUND(INT(Output!D12/12),3)&amp;"'-"&amp;INT(ROUND((Output!D12/12-INT(Output!D12/12))*12,3))&amp;" "&amp;IF(MROUND(ROUND((Output!D12/12-INT(Output!D12/12))*12,3)-INT(ROUND((Output!D12/12-INT(Output!D12/12))*12,3)),1/8)=0,"",VLOOKUP(MROUND((Output!D12/12-INT(Output!D12/12))*12-INT((Output!D12/12-INT(Output!D12/12))*12),1/8),fract[],2,FALSE))&amp;"''",""),"")</f>
        <v/>
      </c>
      <c r="E13" s="9" t="str">
        <f>IF(ISNUMBER(Output!E12),IF(Output!E12&gt;=12,IFERROR(ROUND(INT(Output!E12)/12,0)&amp;"'-"&amp;INT(ROUND((Output!E12/12-INT(Output!E12/12))*12,2))&amp;" "&amp;IF(MROUND(ROUND((Output!E12/12-INT(Output!E12/12))*12,3)-INT(ROUND((Output!E12/12-INT(Output!E12/12))*12,3)),1/8)=0,"",VLOOKUP(MROUND((Output!E12/12-INT(Output!E12/12))*12-INT((Output!E12/12-INT(Output!E12/12))*12),1/8),fract[],2,FALSE))&amp;"''",""),IFERROR(INT(Output!E12)&amp;" "&amp;IF(MROUND((Output!E12-INT(Output!E12)),1/8)=0,"",VLOOKUP(MROUND((Output!E12-INT(Output!E12)),1/8),fract[],2,FALSE))&amp;"''","")),"")</f>
        <v/>
      </c>
      <c r="F13" s="8"/>
      <c r="G13" s="8"/>
      <c r="H13" s="9" t="str">
        <f t="shared" si="0"/>
        <v/>
      </c>
      <c r="I13" s="9" t="str">
        <f t="shared" si="1"/>
        <v/>
      </c>
      <c r="J13" s="12" t="str">
        <f>IF(ISNUMBER(Output!F12),Output!F12,"")</f>
        <v/>
      </c>
      <c r="K13" s="12" t="str">
        <f>IF(ISNUMBER(Output!G12),Output!G12,"")</f>
        <v/>
      </c>
    </row>
    <row r="14" spans="1:20" ht="18" customHeight="1" x14ac:dyDescent="0.25">
      <c r="A14" s="9" t="str">
        <f>IF(ISBLANK(Output!A13),"",Output!A13)</f>
        <v/>
      </c>
      <c r="B14" s="9" t="str">
        <f>IF(ISBLANK(Output!B13),"",Output!B13)</f>
        <v/>
      </c>
      <c r="C14" s="9" t="str">
        <f>IF(ISNUMBER(Output!C13),IF(Output!C13&gt;=12,IFERROR(ROUND(INT(Output!C13)/12,0)&amp;"'-"&amp;INT(ROUND((Output!C13/12-INT(Output!C13/12))*12,2))&amp;" "&amp;IF(MROUND(ROUND((Output!C13/12-INT(Output!C13/12))*12,3)-INT(ROUND((Output!C13/12-INT(Output!C13/12))*12,3)),1/8)=0,"",VLOOKUP(MROUND((Output!C13/12-INT(Output!C13/12))*12-INT((Output!C13/12-INT(Output!C13/12))*12),1/8),fract[],2,FALSE))&amp;"''",""),IFERROR(INT(Output!C13)&amp;" "&amp;IF(MROUND((Output!C13-INT(Output!C13)),1/8)=0,"",VLOOKUP(MROUND((Output!C13-INT(Output!C13)),1/8),fract[],2,FALSE))&amp;"''","")),"")</f>
        <v/>
      </c>
      <c r="D14" s="9" t="str">
        <f>IF(ISNUMBER(Output!D13),IFERROR(ROUND(INT(Output!D13/12),3)&amp;"'-"&amp;INT(ROUND((Output!D13/12-INT(Output!D13/12))*12,3))&amp;" "&amp;IF(MROUND(ROUND((Output!D13/12-INT(Output!D13/12))*12,3)-INT(ROUND((Output!D13/12-INT(Output!D13/12))*12,3)),1/8)=0,"",VLOOKUP(MROUND((Output!D13/12-INT(Output!D13/12))*12-INT((Output!D13/12-INT(Output!D13/12))*12),1/8),fract[],2,FALSE))&amp;"''",""),"")</f>
        <v/>
      </c>
      <c r="E14" s="9" t="str">
        <f>IF(ISNUMBER(Output!E13),IF(Output!E13&gt;=12,IFERROR(ROUND(INT(Output!E13)/12,0)&amp;"'-"&amp;INT(ROUND((Output!E13/12-INT(Output!E13/12))*12,2))&amp;" "&amp;IF(MROUND(ROUND((Output!E13/12-INT(Output!E13/12))*12,3)-INT(ROUND((Output!E13/12-INT(Output!E13/12))*12,3)),1/8)=0,"",VLOOKUP(MROUND((Output!E13/12-INT(Output!E13/12))*12-INT((Output!E13/12-INT(Output!E13/12))*12),1/8),fract[],2,FALSE))&amp;"''",""),IFERROR(INT(Output!E13)&amp;" "&amp;IF(MROUND((Output!E13-INT(Output!E13)),1/8)=0,"",VLOOKUP(MROUND((Output!E13-INT(Output!E13)),1/8),fract[],2,FALSE))&amp;"''","")),"")</f>
        <v/>
      </c>
      <c r="F14" s="8"/>
      <c r="G14" s="8"/>
      <c r="H14" s="9" t="str">
        <f t="shared" si="0"/>
        <v/>
      </c>
      <c r="I14" s="9" t="str">
        <f t="shared" si="1"/>
        <v/>
      </c>
      <c r="J14" s="12" t="str">
        <f>IF(ISNUMBER(Output!F13),Output!F13,"")</f>
        <v/>
      </c>
      <c r="K14" s="12" t="str">
        <f>IF(ISNUMBER(Output!G13),Output!G13,"")</f>
        <v/>
      </c>
    </row>
    <row r="15" spans="1:20" ht="18" customHeight="1" x14ac:dyDescent="0.25">
      <c r="A15" s="9" t="str">
        <f>IF(ISBLANK(Output!A14),"",Output!A14)</f>
        <v/>
      </c>
      <c r="B15" s="9" t="str">
        <f>IF(ISBLANK(Output!B14),"",Output!B14)</f>
        <v/>
      </c>
      <c r="C15" s="9" t="str">
        <f>IF(ISNUMBER(Output!C14),IF(Output!C14&gt;=12,IFERROR(ROUND(INT(Output!C14)/12,0)&amp;"'-"&amp;INT(ROUND((Output!C14/12-INT(Output!C14/12))*12,2))&amp;" "&amp;IF(MROUND(ROUND((Output!C14/12-INT(Output!C14/12))*12,3)-INT(ROUND((Output!C14/12-INT(Output!C14/12))*12,3)),1/8)=0,"",VLOOKUP(MROUND((Output!C14/12-INT(Output!C14/12))*12-INT((Output!C14/12-INT(Output!C14/12))*12),1/8),fract[],2,FALSE))&amp;"''",""),IFERROR(INT(Output!C14)&amp;" "&amp;IF(MROUND((Output!C14-INT(Output!C14)),1/8)=0,"",VLOOKUP(MROUND((Output!C14-INT(Output!C14)),1/8),fract[],2,FALSE))&amp;"''","")),"")</f>
        <v/>
      </c>
      <c r="D15" s="9" t="str">
        <f>IF(ISNUMBER(Output!D14),IFERROR(ROUND(INT(Output!D14/12),3)&amp;"'-"&amp;INT(ROUND((Output!D14/12-INT(Output!D14/12))*12,3))&amp;" "&amp;IF(MROUND(ROUND((Output!D14/12-INT(Output!D14/12))*12,3)-INT(ROUND((Output!D14/12-INT(Output!D14/12))*12,3)),1/8)=0,"",VLOOKUP(MROUND((Output!D14/12-INT(Output!D14/12))*12-INT((Output!D14/12-INT(Output!D14/12))*12),1/8),fract[],2,FALSE))&amp;"''",""),"")</f>
        <v/>
      </c>
      <c r="E15" s="9" t="str">
        <f>IF(ISNUMBER(Output!E14),IF(Output!E14&gt;=12,IFERROR(ROUND(INT(Output!E14)/12,0)&amp;"'-"&amp;INT(ROUND((Output!E14/12-INT(Output!E14/12))*12,2))&amp;" "&amp;IF(MROUND(ROUND((Output!E14/12-INT(Output!E14/12))*12,3)-INT(ROUND((Output!E14/12-INT(Output!E14/12))*12,3)),1/8)=0,"",VLOOKUP(MROUND((Output!E14/12-INT(Output!E14/12))*12-INT((Output!E14/12-INT(Output!E14/12))*12),1/8),fract[],2,FALSE))&amp;"''",""),IFERROR(INT(Output!E14)&amp;" "&amp;IF(MROUND((Output!E14-INT(Output!E14)),1/8)=0,"",VLOOKUP(MROUND((Output!E14-INT(Output!E14)),1/8),fract[],2,FALSE))&amp;"''","")),"")</f>
        <v/>
      </c>
      <c r="F15" s="8"/>
      <c r="G15" s="8"/>
      <c r="H15" s="9" t="str">
        <f t="shared" si="0"/>
        <v/>
      </c>
      <c r="I15" s="9" t="str">
        <f t="shared" si="1"/>
        <v/>
      </c>
      <c r="J15" s="12" t="str">
        <f>IF(ISNUMBER(Output!F14),Output!F14,"")</f>
        <v/>
      </c>
      <c r="K15" s="12" t="str">
        <f>IF(ISNUMBER(Output!G14),Output!G14,"")</f>
        <v/>
      </c>
    </row>
    <row r="16" spans="1:20" ht="18" customHeight="1" x14ac:dyDescent="0.25">
      <c r="A16" s="9" t="str">
        <f>IF(ISBLANK(Output!A15),"",Output!A15)</f>
        <v/>
      </c>
      <c r="B16" s="9" t="str">
        <f>IF(ISBLANK(Output!B15),"",Output!B15)</f>
        <v/>
      </c>
      <c r="C16" s="9" t="str">
        <f>IF(ISNUMBER(Output!C15),IF(Output!C15&gt;=12,IFERROR(ROUND(INT(Output!C15)/12,0)&amp;"'-"&amp;INT(ROUND((Output!C15/12-INT(Output!C15/12))*12,2))&amp;" "&amp;IF(MROUND(ROUND((Output!C15/12-INT(Output!C15/12))*12,3)-INT(ROUND((Output!C15/12-INT(Output!C15/12))*12,3)),1/8)=0,"",VLOOKUP(MROUND((Output!C15/12-INT(Output!C15/12))*12-INT((Output!C15/12-INT(Output!C15/12))*12),1/8),fract[],2,FALSE))&amp;"''",""),IFERROR(INT(Output!C15)&amp;" "&amp;IF(MROUND((Output!C15-INT(Output!C15)),1/8)=0,"",VLOOKUP(MROUND((Output!C15-INT(Output!C15)),1/8),fract[],2,FALSE))&amp;"''","")),"")</f>
        <v/>
      </c>
      <c r="D16" s="9" t="str">
        <f>IF(ISNUMBER(Output!D15),IFERROR(ROUND(INT(Output!D15/12),3)&amp;"'-"&amp;INT(ROUND((Output!D15/12-INT(Output!D15/12))*12,3))&amp;" "&amp;IF(MROUND(ROUND((Output!D15/12-INT(Output!D15/12))*12,3)-INT(ROUND((Output!D15/12-INT(Output!D15/12))*12,3)),1/8)=0,"",VLOOKUP(MROUND((Output!D15/12-INT(Output!D15/12))*12-INT((Output!D15/12-INT(Output!D15/12))*12),1/8),fract[],2,FALSE))&amp;"''",""),"")</f>
        <v/>
      </c>
      <c r="E16" s="9" t="str">
        <f>IF(ISNUMBER(Output!E15),IF(Output!E15&gt;=12,IFERROR(ROUND(INT(Output!E15)/12,0)&amp;"'-"&amp;INT(ROUND((Output!E15/12-INT(Output!E15/12))*12,2))&amp;" "&amp;IF(MROUND(ROUND((Output!E15/12-INT(Output!E15/12))*12,3)-INT(ROUND((Output!E15/12-INT(Output!E15/12))*12,3)),1/8)=0,"",VLOOKUP(MROUND((Output!E15/12-INT(Output!E15/12))*12-INT((Output!E15/12-INT(Output!E15/12))*12),1/8),fract[],2,FALSE))&amp;"''",""),IFERROR(INT(Output!E15)&amp;" "&amp;IF(MROUND((Output!E15-INT(Output!E15)),1/8)=0,"",VLOOKUP(MROUND((Output!E15-INT(Output!E15)),1/8),fract[],2,FALSE))&amp;"''","")),"")</f>
        <v/>
      </c>
      <c r="F16" s="8"/>
      <c r="G16" s="8"/>
      <c r="H16" s="9" t="str">
        <f t="shared" si="0"/>
        <v/>
      </c>
      <c r="I16" s="9" t="str">
        <f t="shared" si="1"/>
        <v/>
      </c>
      <c r="J16" s="12" t="str">
        <f>IF(ISNUMBER(Output!F15),Output!F15,"")</f>
        <v/>
      </c>
      <c r="K16" s="12" t="str">
        <f>IF(ISNUMBER(Output!G15),Output!G15,"")</f>
        <v/>
      </c>
    </row>
    <row r="17" spans="1:11" ht="18" customHeight="1" x14ac:dyDescent="0.25">
      <c r="A17" s="9" t="str">
        <f>IF(ISBLANK(Output!A16),"",Output!A16)</f>
        <v/>
      </c>
      <c r="B17" s="9" t="str">
        <f>IF(ISBLANK(Output!B16),"",Output!B16)</f>
        <v/>
      </c>
      <c r="C17" s="9" t="str">
        <f>IF(ISNUMBER(Output!C16),IF(Output!C16&gt;=12,IFERROR(ROUND(INT(Output!C16)/12,0)&amp;"'-"&amp;INT(ROUND((Output!C16/12-INT(Output!C16/12))*12,2))&amp;" "&amp;IF(MROUND(ROUND((Output!C16/12-INT(Output!C16/12))*12,3)-INT(ROUND((Output!C16/12-INT(Output!C16/12))*12,3)),1/8)=0,"",VLOOKUP(MROUND((Output!C16/12-INT(Output!C16/12))*12-INT((Output!C16/12-INT(Output!C16/12))*12),1/8),fract[],2,FALSE))&amp;"''",""),IFERROR(INT(Output!C16)&amp;" "&amp;IF(MROUND((Output!C16-INT(Output!C16)),1/8)=0,"",VLOOKUP(MROUND((Output!C16-INT(Output!C16)),1/8),fract[],2,FALSE))&amp;"''","")),"")</f>
        <v/>
      </c>
      <c r="D17" s="9" t="str">
        <f>IF(ISNUMBER(Output!D16),IFERROR(ROUND(INT(Output!D16/12),3)&amp;"'-"&amp;INT(ROUND((Output!D16/12-INT(Output!D16/12))*12,3))&amp;" "&amp;IF(MROUND(ROUND((Output!D16/12-INT(Output!D16/12))*12,3)-INT(ROUND((Output!D16/12-INT(Output!D16/12))*12,3)),1/8)=0,"",VLOOKUP(MROUND((Output!D16/12-INT(Output!D16/12))*12-INT((Output!D16/12-INT(Output!D16/12))*12),1/8),fract[],2,FALSE))&amp;"''",""),"")</f>
        <v/>
      </c>
      <c r="E17" s="9" t="str">
        <f>IF(ISNUMBER(Output!E16),IF(Output!E16&gt;=12,IFERROR(ROUND(INT(Output!E16)/12,0)&amp;"'-"&amp;INT(ROUND((Output!E16/12-INT(Output!E16/12))*12,2))&amp;" "&amp;IF(MROUND(ROUND((Output!E16/12-INT(Output!E16/12))*12,3)-INT(ROUND((Output!E16/12-INT(Output!E16/12))*12,3)),1/8)=0,"",VLOOKUP(MROUND((Output!E16/12-INT(Output!E16/12))*12-INT((Output!E16/12-INT(Output!E16/12))*12),1/8),fract[],2,FALSE))&amp;"''",""),IFERROR(INT(Output!E16)&amp;" "&amp;IF(MROUND((Output!E16-INT(Output!E16)),1/8)=0,"",VLOOKUP(MROUND((Output!E16-INT(Output!E16)),1/8),fract[],2,FALSE))&amp;"''","")),"")</f>
        <v/>
      </c>
      <c r="F17" s="8"/>
      <c r="G17" s="8"/>
      <c r="H17" s="9" t="str">
        <f t="shared" si="0"/>
        <v/>
      </c>
      <c r="I17" s="9" t="str">
        <f t="shared" si="1"/>
        <v/>
      </c>
      <c r="J17" s="12" t="str">
        <f>IF(ISNUMBER(Output!F16),Output!F16,"")</f>
        <v/>
      </c>
      <c r="K17" s="12" t="str">
        <f>IF(ISNUMBER(Output!G16),Output!G16,"")</f>
        <v/>
      </c>
    </row>
    <row r="18" spans="1:11" ht="18" customHeight="1" x14ac:dyDescent="0.25">
      <c r="A18" s="9" t="str">
        <f>IF(ISBLANK(Output!A17),"",Output!A17)</f>
        <v/>
      </c>
      <c r="B18" s="9" t="str">
        <f>IF(ISBLANK(Output!B17),"",Output!B17)</f>
        <v/>
      </c>
      <c r="C18" s="9" t="str">
        <f>IF(ISNUMBER(Output!C17),IF(Output!C17&gt;=12,IFERROR(ROUND(INT(Output!C17)/12,0)&amp;"'-"&amp;INT(ROUND((Output!C17/12-INT(Output!C17/12))*12,2))&amp;" "&amp;IF(MROUND(ROUND((Output!C17/12-INT(Output!C17/12))*12,3)-INT(ROUND((Output!C17/12-INT(Output!C17/12))*12,3)),1/8)=0,"",VLOOKUP(MROUND((Output!C17/12-INT(Output!C17/12))*12-INT((Output!C17/12-INT(Output!C17/12))*12),1/8),fract[],2,FALSE))&amp;"''",""),IFERROR(INT(Output!C17)&amp;" "&amp;IF(MROUND((Output!C17-INT(Output!C17)),1/8)=0,"",VLOOKUP(MROUND((Output!C17-INT(Output!C17)),1/8),fract[],2,FALSE))&amp;"''","")),"")</f>
        <v/>
      </c>
      <c r="D18" s="9" t="str">
        <f>IF(ISNUMBER(Output!D17),IFERROR(ROUND(INT(Output!D17/12),3)&amp;"'-"&amp;INT(ROUND((Output!D17/12-INT(Output!D17/12))*12,3))&amp;" "&amp;IF(MROUND(ROUND((Output!D17/12-INT(Output!D17/12))*12,3)-INT(ROUND((Output!D17/12-INT(Output!D17/12))*12,3)),1/8)=0,"",VLOOKUP(MROUND((Output!D17/12-INT(Output!D17/12))*12-INT((Output!D17/12-INT(Output!D17/12))*12),1/8),fract[],2,FALSE))&amp;"''",""),"")</f>
        <v/>
      </c>
      <c r="E18" s="9" t="str">
        <f>IF(ISNUMBER(Output!E17),IF(Output!E17&gt;=12,IFERROR(ROUND(INT(Output!E17)/12,0)&amp;"'-"&amp;INT(ROUND((Output!E17/12-INT(Output!E17/12))*12,2))&amp;" "&amp;IF(MROUND(ROUND((Output!E17/12-INT(Output!E17/12))*12,3)-INT(ROUND((Output!E17/12-INT(Output!E17/12))*12,3)),1/8)=0,"",VLOOKUP(MROUND((Output!E17/12-INT(Output!E17/12))*12-INT((Output!E17/12-INT(Output!E17/12))*12),1/8),fract[],2,FALSE))&amp;"''",""),IFERROR(INT(Output!E17)&amp;" "&amp;IF(MROUND((Output!E17-INT(Output!E17)),1/8)=0,"",VLOOKUP(MROUND((Output!E17-INT(Output!E17)),1/8),fract[],2,FALSE))&amp;"''","")),"")</f>
        <v/>
      </c>
      <c r="F18" s="8"/>
      <c r="G18" s="8"/>
      <c r="H18" s="9" t="str">
        <f t="shared" si="0"/>
        <v/>
      </c>
      <c r="I18" s="9" t="str">
        <f t="shared" si="1"/>
        <v/>
      </c>
      <c r="J18" s="12" t="str">
        <f>IF(ISNUMBER(Output!F17),Output!F17,"")</f>
        <v/>
      </c>
      <c r="K18" s="12" t="str">
        <f>IF(ISNUMBER(Output!G17),Output!G17,"")</f>
        <v/>
      </c>
    </row>
    <row r="19" spans="1:11" ht="18" customHeight="1" x14ac:dyDescent="0.25">
      <c r="A19" s="9" t="str">
        <f>IF(ISBLANK(Output!A18),"",Output!A18)</f>
        <v/>
      </c>
      <c r="B19" s="9" t="str">
        <f>IF(ISBLANK(Output!B18),"",Output!B18)</f>
        <v/>
      </c>
      <c r="C19" s="9" t="str">
        <f>IF(ISNUMBER(Output!C18),IF(Output!C18&gt;=12,IFERROR(ROUND(INT(Output!C18)/12,0)&amp;"'-"&amp;INT(ROUND((Output!C18/12-INT(Output!C18/12))*12,2))&amp;" "&amp;IF(MROUND(ROUND((Output!C18/12-INT(Output!C18/12))*12,3)-INT(ROUND((Output!C18/12-INT(Output!C18/12))*12,3)),1/8)=0,"",VLOOKUP(MROUND((Output!C18/12-INT(Output!C18/12))*12-INT((Output!C18/12-INT(Output!C18/12))*12),1/8),fract[],2,FALSE))&amp;"''",""),IFERROR(INT(Output!C18)&amp;" "&amp;IF(MROUND((Output!C18-INT(Output!C18)),1/8)=0,"",VLOOKUP(MROUND((Output!C18-INT(Output!C18)),1/8),fract[],2,FALSE))&amp;"''","")),"")</f>
        <v/>
      </c>
      <c r="D19" s="9" t="str">
        <f>IF(ISNUMBER(Output!D18),IFERROR(ROUND(INT(Output!D18/12),3)&amp;"'-"&amp;INT(ROUND((Output!D18/12-INT(Output!D18/12))*12,3))&amp;" "&amp;IF(MROUND(ROUND((Output!D18/12-INT(Output!D18/12))*12,3)-INT(ROUND((Output!D18/12-INT(Output!D18/12))*12,3)),1/8)=0,"",VLOOKUP(MROUND((Output!D18/12-INT(Output!D18/12))*12-INT((Output!D18/12-INT(Output!D18/12))*12),1/8),fract[],2,FALSE))&amp;"''",""),"")</f>
        <v/>
      </c>
      <c r="E19" s="9" t="str">
        <f>IF(ISNUMBER(Output!E18),IF(Output!E18&gt;=12,IFERROR(ROUND(INT(Output!E18)/12,0)&amp;"'-"&amp;INT(ROUND((Output!E18/12-INT(Output!E18/12))*12,2))&amp;" "&amp;IF(MROUND(ROUND((Output!E18/12-INT(Output!E18/12))*12,3)-INT(ROUND((Output!E18/12-INT(Output!E18/12))*12,3)),1/8)=0,"",VLOOKUP(MROUND((Output!E18/12-INT(Output!E18/12))*12-INT((Output!E18/12-INT(Output!E18/12))*12),1/8),fract[],2,FALSE))&amp;"''",""),IFERROR(INT(Output!E18)&amp;" "&amp;IF(MROUND((Output!E18-INT(Output!E18)),1/8)=0,"",VLOOKUP(MROUND((Output!E18-INT(Output!E18)),1/8),fract[],2,FALSE))&amp;"''","")),"")</f>
        <v/>
      </c>
      <c r="F19" s="8"/>
      <c r="G19" s="8"/>
      <c r="H19" s="9" t="str">
        <f t="shared" si="0"/>
        <v/>
      </c>
      <c r="I19" s="9" t="str">
        <f t="shared" si="1"/>
        <v/>
      </c>
      <c r="J19" s="12" t="str">
        <f>IF(ISNUMBER(Output!F18),Output!F18,"")</f>
        <v/>
      </c>
      <c r="K19" s="12" t="str">
        <f>IF(ISNUMBER(Output!G18),Output!G18,"")</f>
        <v/>
      </c>
    </row>
    <row r="20" spans="1:11" ht="18" customHeight="1" x14ac:dyDescent="0.25">
      <c r="A20" s="9" t="str">
        <f>IF(ISBLANK(Output!A19),"",Output!A19)</f>
        <v/>
      </c>
      <c r="B20" s="9" t="str">
        <f>IF(ISBLANK(Output!B19),"",Output!B19)</f>
        <v/>
      </c>
      <c r="C20" s="9" t="str">
        <f>IF(ISNUMBER(Output!C19),IF(Output!C19&gt;=12,IFERROR(ROUND(INT(Output!C19)/12,0)&amp;"'-"&amp;INT(ROUND((Output!C19/12-INT(Output!C19/12))*12,2))&amp;" "&amp;IF(MROUND(ROUND((Output!C19/12-INT(Output!C19/12))*12,3)-INT(ROUND((Output!C19/12-INT(Output!C19/12))*12,3)),1/8)=0,"",VLOOKUP(MROUND((Output!C19/12-INT(Output!C19/12))*12-INT((Output!C19/12-INT(Output!C19/12))*12),1/8),fract[],2,FALSE))&amp;"''",""),IFERROR(INT(Output!C19)&amp;" "&amp;IF(MROUND((Output!C19-INT(Output!C19)),1/8)=0,"",VLOOKUP(MROUND((Output!C19-INT(Output!C19)),1/8),fract[],2,FALSE))&amp;"''","")),"")</f>
        <v/>
      </c>
      <c r="D20" s="9" t="str">
        <f>IF(ISNUMBER(Output!D19),IFERROR(ROUND(INT(Output!D19/12),3)&amp;"'-"&amp;INT(ROUND((Output!D19/12-INT(Output!D19/12))*12,3))&amp;" "&amp;IF(MROUND(ROUND((Output!D19/12-INT(Output!D19/12))*12,3)-INT(ROUND((Output!D19/12-INT(Output!D19/12))*12,3)),1/8)=0,"",VLOOKUP(MROUND((Output!D19/12-INT(Output!D19/12))*12-INT((Output!D19/12-INT(Output!D19/12))*12),1/8),fract[],2,FALSE))&amp;"''",""),"")</f>
        <v/>
      </c>
      <c r="E20" s="9" t="str">
        <f>IF(ISNUMBER(Output!E19),IF(Output!E19&gt;=12,IFERROR(ROUND(INT(Output!E19)/12,0)&amp;"'-"&amp;INT(ROUND((Output!E19/12-INT(Output!E19/12))*12,2))&amp;" "&amp;IF(MROUND(ROUND((Output!E19/12-INT(Output!E19/12))*12,3)-INT(ROUND((Output!E19/12-INT(Output!E19/12))*12,3)),1/8)=0,"",VLOOKUP(MROUND((Output!E19/12-INT(Output!E19/12))*12-INT((Output!E19/12-INT(Output!E19/12))*12),1/8),fract[],2,FALSE))&amp;"''",""),IFERROR(INT(Output!E19)&amp;" "&amp;IF(MROUND((Output!E19-INT(Output!E19)),1/8)=0,"",VLOOKUP(MROUND((Output!E19-INT(Output!E19)),1/8),fract[],2,FALSE))&amp;"''","")),"")</f>
        <v/>
      </c>
      <c r="F20" s="8"/>
      <c r="G20" s="8"/>
      <c r="H20" s="9" t="str">
        <f t="shared" si="0"/>
        <v/>
      </c>
      <c r="I20" s="9" t="str">
        <f t="shared" si="1"/>
        <v/>
      </c>
      <c r="J20" s="12" t="str">
        <f>IF(ISNUMBER(Output!F19),Output!F19,"")</f>
        <v/>
      </c>
      <c r="K20" s="12" t="str">
        <f>IF(ISNUMBER(Output!G19),Output!G19,"")</f>
        <v/>
      </c>
    </row>
    <row r="21" spans="1:11" ht="18" customHeight="1" x14ac:dyDescent="0.25">
      <c r="A21" s="9" t="str">
        <f>IF(ISBLANK(Output!A20),"",Output!A20)</f>
        <v/>
      </c>
      <c r="B21" s="9" t="str">
        <f>IF(ISBLANK(Output!B20),"",Output!B20)</f>
        <v/>
      </c>
      <c r="C21" s="9" t="str">
        <f>IF(ISNUMBER(Output!C20),IF(Output!C20&gt;=12,IFERROR(ROUND(INT(Output!C20)/12,0)&amp;"'-"&amp;INT(ROUND((Output!C20/12-INT(Output!C20/12))*12,2))&amp;" "&amp;IF(MROUND(ROUND((Output!C20/12-INT(Output!C20/12))*12,3)-INT(ROUND((Output!C20/12-INT(Output!C20/12))*12,3)),1/8)=0,"",VLOOKUP(MROUND((Output!C20/12-INT(Output!C20/12))*12-INT((Output!C20/12-INT(Output!C20/12))*12),1/8),fract[],2,FALSE))&amp;"''",""),IFERROR(INT(Output!C20)&amp;" "&amp;IF(MROUND((Output!C20-INT(Output!C20)),1/8)=0,"",VLOOKUP(MROUND((Output!C20-INT(Output!C20)),1/8),fract[],2,FALSE))&amp;"''","")),"")</f>
        <v/>
      </c>
      <c r="D21" s="9" t="str">
        <f>IF(ISNUMBER(Output!D20),IFERROR(ROUND(INT(Output!D20/12),3)&amp;"'-"&amp;INT(ROUND((Output!D20/12-INT(Output!D20/12))*12,3))&amp;" "&amp;IF(MROUND(ROUND((Output!D20/12-INT(Output!D20/12))*12,3)-INT(ROUND((Output!D20/12-INT(Output!D20/12))*12,3)),1/8)=0,"",VLOOKUP(MROUND((Output!D20/12-INT(Output!D20/12))*12-INT((Output!D20/12-INT(Output!D20/12))*12),1/8),fract[],2,FALSE))&amp;"''",""),"")</f>
        <v/>
      </c>
      <c r="E21" s="9" t="str">
        <f>IF(ISNUMBER(Output!E20),IF(Output!E20&gt;=12,IFERROR(ROUND(INT(Output!E20)/12,0)&amp;"'-"&amp;INT(ROUND((Output!E20/12-INT(Output!E20/12))*12,2))&amp;" "&amp;IF(MROUND(ROUND((Output!E20/12-INT(Output!E20/12))*12,3)-INT(ROUND((Output!E20/12-INT(Output!E20/12))*12,3)),1/8)=0,"",VLOOKUP(MROUND((Output!E20/12-INT(Output!E20/12))*12-INT((Output!E20/12-INT(Output!E20/12))*12),1/8),fract[],2,FALSE))&amp;"''",""),IFERROR(INT(Output!E20)&amp;" "&amp;IF(MROUND((Output!E20-INT(Output!E20)),1/8)=0,"",VLOOKUP(MROUND((Output!E20-INT(Output!E20)),1/8),fract[],2,FALSE))&amp;"''","")),"")</f>
        <v/>
      </c>
      <c r="F21" s="8"/>
      <c r="G21" s="8"/>
      <c r="H21" s="9" t="str">
        <f t="shared" si="0"/>
        <v/>
      </c>
      <c r="I21" s="9" t="str">
        <f t="shared" si="1"/>
        <v/>
      </c>
      <c r="J21" s="12" t="str">
        <f>IF(ISNUMBER(Output!F20),Output!F20,"")</f>
        <v/>
      </c>
      <c r="K21" s="12" t="str">
        <f>IF(ISNUMBER(Output!G20),Output!G20,"")</f>
        <v/>
      </c>
    </row>
    <row r="22" spans="1:11" ht="18" customHeight="1" x14ac:dyDescent="0.25">
      <c r="A22" s="9" t="str">
        <f>IF(ISBLANK(Output!A21),"",Output!A21)</f>
        <v/>
      </c>
      <c r="B22" s="9" t="str">
        <f>IF(ISBLANK(Output!B21),"",Output!B21)</f>
        <v/>
      </c>
      <c r="C22" s="9" t="str">
        <f>IF(ISNUMBER(Output!C21),IF(Output!C21&gt;=12,IFERROR(ROUND(INT(Output!C21)/12,0)&amp;"'-"&amp;INT(ROUND((Output!C21/12-INT(Output!C21/12))*12,2))&amp;" "&amp;IF(MROUND(ROUND((Output!C21/12-INT(Output!C21/12))*12,3)-INT(ROUND((Output!C21/12-INT(Output!C21/12))*12,3)),1/8)=0,"",VLOOKUP(MROUND((Output!C21/12-INT(Output!C21/12))*12-INT((Output!C21/12-INT(Output!C21/12))*12),1/8),fract[],2,FALSE))&amp;"''",""),IFERROR(INT(Output!C21)&amp;" "&amp;IF(MROUND((Output!C21-INT(Output!C21)),1/8)=0,"",VLOOKUP(MROUND((Output!C21-INT(Output!C21)),1/8),fract[],2,FALSE))&amp;"''","")),"")</f>
        <v/>
      </c>
      <c r="D22" s="9" t="str">
        <f>IF(ISNUMBER(Output!D21),IFERROR(ROUND(INT(Output!D21/12),3)&amp;"'-"&amp;INT(ROUND((Output!D21/12-INT(Output!D21/12))*12,3))&amp;" "&amp;IF(MROUND(ROUND((Output!D21/12-INT(Output!D21/12))*12,3)-INT(ROUND((Output!D21/12-INT(Output!D21/12))*12,3)),1/8)=0,"",VLOOKUP(MROUND((Output!D21/12-INT(Output!D21/12))*12-INT((Output!D21/12-INT(Output!D21/12))*12),1/8),fract[],2,FALSE))&amp;"''",""),"")</f>
        <v/>
      </c>
      <c r="E22" s="9" t="str">
        <f>IF(ISNUMBER(Output!E21),IF(Output!E21&gt;=12,IFERROR(ROUND(INT(Output!E21)/12,0)&amp;"'-"&amp;INT(ROUND((Output!E21/12-INT(Output!E21/12))*12,2))&amp;" "&amp;IF(MROUND(ROUND((Output!E21/12-INT(Output!E21/12))*12,3)-INT(ROUND((Output!E21/12-INT(Output!E21/12))*12,3)),1/8)=0,"",VLOOKUP(MROUND((Output!E21/12-INT(Output!E21/12))*12-INT((Output!E21/12-INT(Output!E21/12))*12),1/8),fract[],2,FALSE))&amp;"''",""),IFERROR(INT(Output!E21)&amp;" "&amp;IF(MROUND((Output!E21-INT(Output!E21)),1/8)=0,"",VLOOKUP(MROUND((Output!E21-INT(Output!E21)),1/8),fract[],2,FALSE))&amp;"''","")),"")</f>
        <v/>
      </c>
      <c r="F22" s="8"/>
      <c r="G22" s="8"/>
      <c r="H22" s="9" t="str">
        <f t="shared" si="0"/>
        <v/>
      </c>
      <c r="I22" s="9" t="str">
        <f t="shared" si="1"/>
        <v/>
      </c>
      <c r="J22" s="12" t="str">
        <f>IF(ISNUMBER(Output!F21),Output!F21,"")</f>
        <v/>
      </c>
      <c r="K22" s="12" t="str">
        <f>IF(ISNUMBER(Output!G21),Output!G21,"")</f>
        <v/>
      </c>
    </row>
    <row r="23" spans="1:11" ht="18" customHeight="1" x14ac:dyDescent="0.25">
      <c r="A23" s="9" t="str">
        <f>IF(ISBLANK(Output!A22),"",Output!A22)</f>
        <v/>
      </c>
      <c r="B23" s="9" t="str">
        <f>IF(ISBLANK(Output!B22),"",Output!B22)</f>
        <v/>
      </c>
      <c r="C23" s="9" t="str">
        <f>IF(ISNUMBER(Output!C22),IF(Output!C22&gt;=12,IFERROR(ROUND(INT(Output!C22)/12,0)&amp;"'-"&amp;INT(ROUND((Output!C22/12-INT(Output!C22/12))*12,2))&amp;" "&amp;IF(MROUND(ROUND((Output!C22/12-INT(Output!C22/12))*12,3)-INT(ROUND((Output!C22/12-INT(Output!C22/12))*12,3)),1/8)=0,"",VLOOKUP(MROUND((Output!C22/12-INT(Output!C22/12))*12-INT((Output!C22/12-INT(Output!C22/12))*12),1/8),fract[],2,FALSE))&amp;"''",""),IFERROR(INT(Output!C22)&amp;" "&amp;IF(MROUND((Output!C22-INT(Output!C22)),1/8)=0,"",VLOOKUP(MROUND((Output!C22-INT(Output!C22)),1/8),fract[],2,FALSE))&amp;"''","")),"")</f>
        <v/>
      </c>
      <c r="D23" s="9" t="str">
        <f>IF(ISNUMBER(Output!D22),IFERROR(ROUND(INT(Output!D22/12),3)&amp;"'-"&amp;INT(ROUND((Output!D22/12-INT(Output!D22/12))*12,3))&amp;" "&amp;IF(MROUND(ROUND((Output!D22/12-INT(Output!D22/12))*12,3)-INT(ROUND((Output!D22/12-INT(Output!D22/12))*12,3)),1/8)=0,"",VLOOKUP(MROUND((Output!D22/12-INT(Output!D22/12))*12-INT((Output!D22/12-INT(Output!D22/12))*12),1/8),fract[],2,FALSE))&amp;"''",""),"")</f>
        <v/>
      </c>
      <c r="E23" s="9" t="str">
        <f>IF(ISNUMBER(Output!E22),IF(Output!E22&gt;=12,IFERROR(ROUND(INT(Output!E22)/12,0)&amp;"'-"&amp;INT(ROUND((Output!E22/12-INT(Output!E22/12))*12,2))&amp;" "&amp;IF(MROUND(ROUND((Output!E22/12-INT(Output!E22/12))*12,3)-INT(ROUND((Output!E22/12-INT(Output!E22/12))*12,3)),1/8)=0,"",VLOOKUP(MROUND((Output!E22/12-INT(Output!E22/12))*12-INT((Output!E22/12-INT(Output!E22/12))*12),1/8),fract[],2,FALSE))&amp;"''",""),IFERROR(INT(Output!E22)&amp;" "&amp;IF(MROUND((Output!E22-INT(Output!E22)),1/8)=0,"",VLOOKUP(MROUND((Output!E22-INT(Output!E22)),1/8),fract[],2,FALSE))&amp;"''","")),"")</f>
        <v/>
      </c>
      <c r="F23" s="8"/>
      <c r="G23" s="8"/>
      <c r="H23" s="9" t="str">
        <f t="shared" si="0"/>
        <v/>
      </c>
      <c r="I23" s="9" t="str">
        <f t="shared" si="1"/>
        <v/>
      </c>
      <c r="J23" s="12" t="str">
        <f>IF(ISNUMBER(Output!F22),Output!F22,"")</f>
        <v/>
      </c>
      <c r="K23" s="12" t="str">
        <f>IF(ISNUMBER(Output!G22),Output!G22,"")</f>
        <v/>
      </c>
    </row>
    <row r="24" spans="1:11" ht="18" customHeight="1" x14ac:dyDescent="0.25">
      <c r="A24" s="9" t="str">
        <f>IF(ISBLANK(Output!A23),"",Output!A23)</f>
        <v/>
      </c>
      <c r="B24" s="9" t="str">
        <f>IF(ISBLANK(Output!B23),"",Output!B23)</f>
        <v/>
      </c>
      <c r="C24" s="9" t="str">
        <f>IF(ISNUMBER(Output!C23),IF(Output!C23&gt;=12,IFERROR(ROUND(INT(Output!C23)/12,0)&amp;"'-"&amp;INT(ROUND((Output!C23/12-INT(Output!C23/12))*12,2))&amp;" "&amp;IF(MROUND(ROUND((Output!C23/12-INT(Output!C23/12))*12,3)-INT(ROUND((Output!C23/12-INT(Output!C23/12))*12,3)),1/8)=0,"",VLOOKUP(MROUND((Output!C23/12-INT(Output!C23/12))*12-INT((Output!C23/12-INT(Output!C23/12))*12),1/8),fract[],2,FALSE))&amp;"''",""),IFERROR(INT(Output!C23)&amp;" "&amp;IF(MROUND((Output!C23-INT(Output!C23)),1/8)=0,"",VLOOKUP(MROUND((Output!C23-INT(Output!C23)),1/8),fract[],2,FALSE))&amp;"''","")),"")</f>
        <v/>
      </c>
      <c r="D24" s="9" t="str">
        <f>IF(ISNUMBER(Output!D23),IFERROR(ROUND(INT(Output!D23/12),3)&amp;"'-"&amp;INT(ROUND((Output!D23/12-INT(Output!D23/12))*12,3))&amp;" "&amp;IF(MROUND(ROUND((Output!D23/12-INT(Output!D23/12))*12,3)-INT(ROUND((Output!D23/12-INT(Output!D23/12))*12,3)),1/8)=0,"",VLOOKUP(MROUND((Output!D23/12-INT(Output!D23/12))*12-INT((Output!D23/12-INT(Output!D23/12))*12),1/8),fract[],2,FALSE))&amp;"''",""),"")</f>
        <v/>
      </c>
      <c r="E24" s="9" t="str">
        <f>IF(ISNUMBER(Output!E23),IF(Output!E23&gt;=12,IFERROR(ROUND(INT(Output!E23)/12,0)&amp;"'-"&amp;INT(ROUND((Output!E23/12-INT(Output!E23/12))*12,2))&amp;" "&amp;IF(MROUND(ROUND((Output!E23/12-INT(Output!E23/12))*12,3)-INT(ROUND((Output!E23/12-INT(Output!E23/12))*12,3)),1/8)=0,"",VLOOKUP(MROUND((Output!E23/12-INT(Output!E23/12))*12-INT((Output!E23/12-INT(Output!E23/12))*12),1/8),fract[],2,FALSE))&amp;"''",""),IFERROR(INT(Output!E23)&amp;" "&amp;IF(MROUND((Output!E23-INT(Output!E23)),1/8)=0,"",VLOOKUP(MROUND((Output!E23-INT(Output!E23)),1/8),fract[],2,FALSE))&amp;"''","")),"")</f>
        <v/>
      </c>
      <c r="F24" s="8"/>
      <c r="G24" s="8"/>
      <c r="H24" s="9" t="str">
        <f t="shared" si="0"/>
        <v/>
      </c>
      <c r="I24" s="9" t="str">
        <f t="shared" si="1"/>
        <v/>
      </c>
      <c r="J24" s="12" t="str">
        <f>IF(ISNUMBER(Output!F23),Output!F23,"")</f>
        <v/>
      </c>
      <c r="K24" s="12" t="str">
        <f>IF(ISNUMBER(Output!G23),Output!G23,"")</f>
        <v/>
      </c>
    </row>
    <row r="25" spans="1:11" ht="18" customHeight="1" x14ac:dyDescent="0.25">
      <c r="A25" s="9" t="str">
        <f>IF(ISBLANK(Output!A24),"",Output!A24)</f>
        <v/>
      </c>
      <c r="B25" s="9" t="str">
        <f>IF(ISBLANK(Output!B24),"",Output!B24)</f>
        <v/>
      </c>
      <c r="C25" s="9" t="str">
        <f>IF(ISNUMBER(Output!C24),IF(Output!C24&gt;=12,IFERROR(ROUND(INT(Output!C24)/12,0)&amp;"'-"&amp;INT(ROUND((Output!C24/12-INT(Output!C24/12))*12,2))&amp;" "&amp;IF(MROUND(ROUND((Output!C24/12-INT(Output!C24/12))*12,3)-INT(ROUND((Output!C24/12-INT(Output!C24/12))*12,3)),1/8)=0,"",VLOOKUP(MROUND((Output!C24/12-INT(Output!C24/12))*12-INT((Output!C24/12-INT(Output!C24/12))*12),1/8),fract[],2,FALSE))&amp;"''",""),IFERROR(INT(Output!C24)&amp;" "&amp;IF(MROUND((Output!C24-INT(Output!C24)),1/8)=0,"",VLOOKUP(MROUND((Output!C24-INT(Output!C24)),1/8),fract[],2,FALSE))&amp;"''","")),"")</f>
        <v/>
      </c>
      <c r="D25" s="9" t="str">
        <f>IF(ISNUMBER(Output!D24),IFERROR(ROUND(INT(Output!D24/12),3)&amp;"'-"&amp;INT(ROUND((Output!D24/12-INT(Output!D24/12))*12,3))&amp;" "&amp;IF(MROUND(ROUND((Output!D24/12-INT(Output!D24/12))*12,3)-INT(ROUND((Output!D24/12-INT(Output!D24/12))*12,3)),1/8)=0,"",VLOOKUP(MROUND((Output!D24/12-INT(Output!D24/12))*12-INT((Output!D24/12-INT(Output!D24/12))*12),1/8),fract[],2,FALSE))&amp;"''",""),"")</f>
        <v/>
      </c>
      <c r="E25" s="9" t="str">
        <f>IF(ISNUMBER(Output!E24),IF(Output!E24&gt;=12,IFERROR(ROUND(INT(Output!E24)/12,0)&amp;"'-"&amp;INT(ROUND((Output!E24/12-INT(Output!E24/12))*12,2))&amp;" "&amp;IF(MROUND(ROUND((Output!E24/12-INT(Output!E24/12))*12,3)-INT(ROUND((Output!E24/12-INT(Output!E24/12))*12,3)),1/8)=0,"",VLOOKUP(MROUND((Output!E24/12-INT(Output!E24/12))*12-INT((Output!E24/12-INT(Output!E24/12))*12),1/8),fract[],2,FALSE))&amp;"''",""),IFERROR(INT(Output!E24)&amp;" "&amp;IF(MROUND((Output!E24-INT(Output!E24)),1/8)=0,"",VLOOKUP(MROUND((Output!E24-INT(Output!E24)),1/8),fract[],2,FALSE))&amp;"''","")),"")</f>
        <v/>
      </c>
      <c r="F25" s="8"/>
      <c r="G25" s="8"/>
      <c r="H25" s="9" t="str">
        <f t="shared" si="0"/>
        <v/>
      </c>
      <c r="I25" s="9" t="str">
        <f t="shared" si="1"/>
        <v/>
      </c>
      <c r="J25" s="12" t="str">
        <f>IF(ISNUMBER(Output!F24),Output!F24,"")</f>
        <v/>
      </c>
      <c r="K25" s="12" t="str">
        <f>IF(ISNUMBER(Output!G24),Output!G24,"")</f>
        <v/>
      </c>
    </row>
    <row r="26" spans="1:11" ht="18" customHeight="1" x14ac:dyDescent="0.25">
      <c r="A26" s="9" t="str">
        <f>IF(ISBLANK(Output!A25),"",Output!A25)</f>
        <v/>
      </c>
      <c r="B26" s="9" t="str">
        <f>IF(ISBLANK(Output!B25),"",Output!B25)</f>
        <v/>
      </c>
      <c r="C26" s="9" t="str">
        <f>IF(ISNUMBER(Output!C25),IF(Output!C25&gt;=12,IFERROR(ROUND(INT(Output!C25)/12,0)&amp;"'-"&amp;INT(ROUND((Output!C25/12-INT(Output!C25/12))*12,2))&amp;" "&amp;IF(MROUND(ROUND((Output!C25/12-INT(Output!C25/12))*12,3)-INT(ROUND((Output!C25/12-INT(Output!C25/12))*12,3)),1/8)=0,"",VLOOKUP(MROUND((Output!C25/12-INT(Output!C25/12))*12-INT((Output!C25/12-INT(Output!C25/12))*12),1/8),fract[],2,FALSE))&amp;"''",""),IFERROR(INT(Output!C25)&amp;" "&amp;IF(MROUND((Output!C25-INT(Output!C25)),1/8)=0,"",VLOOKUP(MROUND((Output!C25-INT(Output!C25)),1/8),fract[],2,FALSE))&amp;"''","")),"")</f>
        <v/>
      </c>
      <c r="D26" s="9" t="str">
        <f>IF(ISNUMBER(Output!D25),IFERROR(ROUND(INT(Output!D25/12),3)&amp;"'-"&amp;INT(ROUND((Output!D25/12-INT(Output!D25/12))*12,3))&amp;" "&amp;IF(MROUND(ROUND((Output!D25/12-INT(Output!D25/12))*12,3)-INT(ROUND((Output!D25/12-INT(Output!D25/12))*12,3)),1/8)=0,"",VLOOKUP(MROUND((Output!D25/12-INT(Output!D25/12))*12-INT((Output!D25/12-INT(Output!D25/12))*12),1/8),fract[],2,FALSE))&amp;"''",""),"")</f>
        <v/>
      </c>
      <c r="E26" s="9" t="str">
        <f>IF(ISNUMBER(Output!E25),IF(Output!E25&gt;=12,IFERROR(ROUND(INT(Output!E25)/12,0)&amp;"'-"&amp;INT(ROUND((Output!E25/12-INT(Output!E25/12))*12,2))&amp;" "&amp;IF(MROUND(ROUND((Output!E25/12-INT(Output!E25/12))*12,3)-INT(ROUND((Output!E25/12-INT(Output!E25/12))*12,3)),1/8)=0,"",VLOOKUP(MROUND((Output!E25/12-INT(Output!E25/12))*12-INT((Output!E25/12-INT(Output!E25/12))*12),1/8),fract[],2,FALSE))&amp;"''",""),IFERROR(INT(Output!E25)&amp;" "&amp;IF(MROUND((Output!E25-INT(Output!E25)),1/8)=0,"",VLOOKUP(MROUND((Output!E25-INT(Output!E25)),1/8),fract[],2,FALSE))&amp;"''","")),"")</f>
        <v/>
      </c>
      <c r="F26" s="8"/>
      <c r="G26" s="8"/>
      <c r="H26" s="9" t="str">
        <f t="shared" si="0"/>
        <v/>
      </c>
      <c r="I26" s="9" t="str">
        <f t="shared" si="1"/>
        <v/>
      </c>
      <c r="J26" s="12" t="str">
        <f>IF(ISNUMBER(Output!F25),Output!F25,"")</f>
        <v/>
      </c>
      <c r="K26" s="12" t="str">
        <f>IF(ISNUMBER(Output!G25),Output!G25,"")</f>
        <v/>
      </c>
    </row>
    <row r="27" spans="1:11" ht="18" customHeight="1" x14ac:dyDescent="0.25">
      <c r="A27" s="9" t="str">
        <f>IF(ISBLANK(Output!A26),"",Output!A26)</f>
        <v/>
      </c>
      <c r="B27" s="9" t="str">
        <f>IF(ISBLANK(Output!B26),"",Output!B26)</f>
        <v/>
      </c>
      <c r="C27" s="9" t="str">
        <f>IF(ISNUMBER(Output!C26),IF(Output!C26&gt;=12,IFERROR(ROUND(INT(Output!C26)/12,0)&amp;"'-"&amp;INT(ROUND((Output!C26/12-INT(Output!C26/12))*12,2))&amp;" "&amp;IF(MROUND(ROUND((Output!C26/12-INT(Output!C26/12))*12,3)-INT(ROUND((Output!C26/12-INT(Output!C26/12))*12,3)),1/8)=0,"",VLOOKUP(MROUND((Output!C26/12-INT(Output!C26/12))*12-INT((Output!C26/12-INT(Output!C26/12))*12),1/8),fract[],2,FALSE))&amp;"''",""),IFERROR(INT(Output!C26)&amp;" "&amp;IF(MROUND((Output!C26-INT(Output!C26)),1/8)=0,"",VLOOKUP(MROUND((Output!C26-INT(Output!C26)),1/8),fract[],2,FALSE))&amp;"''","")),"")</f>
        <v/>
      </c>
      <c r="D27" s="9" t="str">
        <f>IF(ISNUMBER(Output!D26),IFERROR(ROUND(INT(Output!D26/12),3)&amp;"'-"&amp;INT(ROUND((Output!D26/12-INT(Output!D26/12))*12,3))&amp;" "&amp;IF(MROUND(ROUND((Output!D26/12-INT(Output!D26/12))*12,3)-INT(ROUND((Output!D26/12-INT(Output!D26/12))*12,3)),1/8)=0,"",VLOOKUP(MROUND((Output!D26/12-INT(Output!D26/12))*12-INT((Output!D26/12-INT(Output!D26/12))*12),1/8),fract[],2,FALSE))&amp;"''",""),"")</f>
        <v/>
      </c>
      <c r="E27" s="9" t="str">
        <f>IF(ISNUMBER(Output!E26),IF(Output!E26&gt;=12,IFERROR(ROUND(INT(Output!E26)/12,0)&amp;"'-"&amp;INT(ROUND((Output!E26/12-INT(Output!E26/12))*12,2))&amp;" "&amp;IF(MROUND(ROUND((Output!E26/12-INT(Output!E26/12))*12,3)-INT(ROUND((Output!E26/12-INT(Output!E26/12))*12,3)),1/8)=0,"",VLOOKUP(MROUND((Output!E26/12-INT(Output!E26/12))*12-INT((Output!E26/12-INT(Output!E26/12))*12),1/8),fract[],2,FALSE))&amp;"''",""),IFERROR(INT(Output!E26)&amp;" "&amp;IF(MROUND((Output!E26-INT(Output!E26)),1/8)=0,"",VLOOKUP(MROUND((Output!E26-INT(Output!E26)),1/8),fract[],2,FALSE))&amp;"''","")),"")</f>
        <v/>
      </c>
      <c r="F27" s="8"/>
      <c r="G27" s="8"/>
      <c r="H27" s="9" t="str">
        <f t="shared" si="0"/>
        <v/>
      </c>
      <c r="I27" s="9" t="str">
        <f t="shared" si="1"/>
        <v/>
      </c>
      <c r="J27" s="12" t="str">
        <f>IF(ISNUMBER(Output!F26),Output!F26,"")</f>
        <v/>
      </c>
      <c r="K27" s="12" t="str">
        <f>IF(ISNUMBER(Output!G26),Output!G26,"")</f>
        <v/>
      </c>
    </row>
    <row r="28" spans="1:11" ht="18" customHeight="1" x14ac:dyDescent="0.25">
      <c r="A28" s="9" t="str">
        <f>IF(ISBLANK(Output!A27),"",Output!A27)</f>
        <v/>
      </c>
      <c r="B28" s="9" t="str">
        <f>IF(ISBLANK(Output!B27),"",Output!B27)</f>
        <v/>
      </c>
      <c r="C28" s="9" t="str">
        <f>IF(ISNUMBER(Output!C27),IF(Output!C27&gt;=12,IFERROR(ROUND(INT(Output!C27)/12,0)&amp;"'-"&amp;INT(ROUND((Output!C27/12-INT(Output!C27/12))*12,2))&amp;" "&amp;IF(MROUND(ROUND((Output!C27/12-INT(Output!C27/12))*12,3)-INT(ROUND((Output!C27/12-INT(Output!C27/12))*12,3)),1/8)=0,"",VLOOKUP(MROUND((Output!C27/12-INT(Output!C27/12))*12-INT((Output!C27/12-INT(Output!C27/12))*12),1/8),fract[],2,FALSE))&amp;"''",""),IFERROR(INT(Output!C27)&amp;" "&amp;IF(MROUND((Output!C27-INT(Output!C27)),1/8)=0,"",VLOOKUP(MROUND((Output!C27-INT(Output!C27)),1/8),fract[],2,FALSE))&amp;"''","")),"")</f>
        <v/>
      </c>
      <c r="D28" s="9" t="str">
        <f>IF(ISNUMBER(Output!D27),IFERROR(ROUND(INT(Output!D27/12),3)&amp;"'-"&amp;INT(ROUND((Output!D27/12-INT(Output!D27/12))*12,3))&amp;" "&amp;IF(MROUND(ROUND((Output!D27/12-INT(Output!D27/12))*12,3)-INT(ROUND((Output!D27/12-INT(Output!D27/12))*12,3)),1/8)=0,"",VLOOKUP(MROUND((Output!D27/12-INT(Output!D27/12))*12-INT((Output!D27/12-INT(Output!D27/12))*12),1/8),fract[],2,FALSE))&amp;"''",""),"")</f>
        <v/>
      </c>
      <c r="E28" s="9" t="str">
        <f>IF(ISNUMBER(Output!E27),IF(Output!E27&gt;=12,IFERROR(ROUND(INT(Output!E27)/12,0)&amp;"'-"&amp;INT(ROUND((Output!E27/12-INT(Output!E27/12))*12,2))&amp;" "&amp;IF(MROUND(ROUND((Output!E27/12-INT(Output!E27/12))*12,3)-INT(ROUND((Output!E27/12-INT(Output!E27/12))*12,3)),1/8)=0,"",VLOOKUP(MROUND((Output!E27/12-INT(Output!E27/12))*12-INT((Output!E27/12-INT(Output!E27/12))*12),1/8),fract[],2,FALSE))&amp;"''",""),IFERROR(INT(Output!E27)&amp;" "&amp;IF(MROUND((Output!E27-INT(Output!E27)),1/8)=0,"",VLOOKUP(MROUND((Output!E27-INT(Output!E27)),1/8),fract[],2,FALSE))&amp;"''","")),"")</f>
        <v/>
      </c>
      <c r="F28" s="8"/>
      <c r="G28" s="8"/>
      <c r="H28" s="9" t="str">
        <f t="shared" si="0"/>
        <v/>
      </c>
      <c r="I28" s="9" t="str">
        <f t="shared" si="1"/>
        <v/>
      </c>
      <c r="J28" s="12" t="str">
        <f>IF(ISNUMBER(Output!F27),Output!F27,"")</f>
        <v/>
      </c>
      <c r="K28" s="12" t="str">
        <f>IF(ISNUMBER(Output!G27),Output!G27,"")</f>
        <v/>
      </c>
    </row>
    <row r="29" spans="1:11" ht="18" customHeight="1" x14ac:dyDescent="0.25">
      <c r="A29" s="9" t="str">
        <f>IF(ISBLANK(Output!A28),"",Output!A28)</f>
        <v/>
      </c>
      <c r="B29" s="9" t="str">
        <f>IF(ISBLANK(Output!B28),"",Output!B28)</f>
        <v/>
      </c>
      <c r="C29" s="9" t="str">
        <f>IF(ISNUMBER(Output!C28),IF(Output!C28&gt;=12,IFERROR(ROUND(INT(Output!C28)/12,0)&amp;"'-"&amp;INT(ROUND((Output!C28/12-INT(Output!C28/12))*12,2))&amp;" "&amp;IF(MROUND(ROUND((Output!C28/12-INT(Output!C28/12))*12,3)-INT(ROUND((Output!C28/12-INT(Output!C28/12))*12,3)),1/8)=0,"",VLOOKUP(MROUND((Output!C28/12-INT(Output!C28/12))*12-INT((Output!C28/12-INT(Output!C28/12))*12),1/8),fract[],2,FALSE))&amp;"''",""),IFERROR(INT(Output!C28)&amp;" "&amp;IF(MROUND((Output!C28-INT(Output!C28)),1/8)=0,"",VLOOKUP(MROUND((Output!C28-INT(Output!C28)),1/8),fract[],2,FALSE))&amp;"''","")),"")</f>
        <v/>
      </c>
      <c r="D29" s="9" t="str">
        <f>IF(ISNUMBER(Output!D28),IFERROR(ROUND(INT(Output!D28/12),3)&amp;"'-"&amp;INT(ROUND((Output!D28/12-INT(Output!D28/12))*12,3))&amp;" "&amp;IF(MROUND(ROUND((Output!D28/12-INT(Output!D28/12))*12,3)-INT(ROUND((Output!D28/12-INT(Output!D28/12))*12,3)),1/8)=0,"",VLOOKUP(MROUND((Output!D28/12-INT(Output!D28/12))*12-INT((Output!D28/12-INT(Output!D28/12))*12),1/8),fract[],2,FALSE))&amp;"''",""),"")</f>
        <v/>
      </c>
      <c r="E29" s="9" t="str">
        <f>IF(ISNUMBER(Output!E28),IF(Output!E28&gt;=12,IFERROR(ROUND(INT(Output!E28)/12,0)&amp;"'-"&amp;INT(ROUND((Output!E28/12-INT(Output!E28/12))*12,2))&amp;" "&amp;IF(MROUND(ROUND((Output!E28/12-INT(Output!E28/12))*12,3)-INT(ROUND((Output!E28/12-INT(Output!E28/12))*12,3)),1/8)=0,"",VLOOKUP(MROUND((Output!E28/12-INT(Output!E28/12))*12-INT((Output!E28/12-INT(Output!E28/12))*12),1/8),fract[],2,FALSE))&amp;"''",""),IFERROR(INT(Output!E28)&amp;" "&amp;IF(MROUND((Output!E28-INT(Output!E28)),1/8)=0,"",VLOOKUP(MROUND((Output!E28-INT(Output!E28)),1/8),fract[],2,FALSE))&amp;"''","")),"")</f>
        <v/>
      </c>
      <c r="F29" s="8"/>
      <c r="G29" s="8"/>
      <c r="H29" s="9" t="str">
        <f t="shared" si="0"/>
        <v/>
      </c>
      <c r="I29" s="9" t="str">
        <f t="shared" si="1"/>
        <v/>
      </c>
      <c r="J29" s="12" t="str">
        <f>IF(ISNUMBER(Output!F28),Output!F28,"")</f>
        <v/>
      </c>
      <c r="K29" s="12" t="str">
        <f>IF(ISNUMBER(Output!G28),Output!G28,"")</f>
        <v/>
      </c>
    </row>
    <row r="30" spans="1:11" ht="18" customHeight="1" x14ac:dyDescent="0.25">
      <c r="A30" s="9" t="str">
        <f>IF(ISBLANK(Output!A29),"",Output!A29)</f>
        <v/>
      </c>
      <c r="B30" s="9" t="str">
        <f>IF(ISBLANK(Output!B29),"",Output!B29)</f>
        <v/>
      </c>
      <c r="C30" s="9" t="str">
        <f>IF(ISNUMBER(Output!C29),IF(Output!C29&gt;=12,IFERROR(ROUND(INT(Output!C29)/12,0)&amp;"'-"&amp;INT(ROUND((Output!C29/12-INT(Output!C29/12))*12,2))&amp;" "&amp;IF(MROUND(ROUND((Output!C29/12-INT(Output!C29/12))*12,3)-INT(ROUND((Output!C29/12-INT(Output!C29/12))*12,3)),1/8)=0,"",VLOOKUP(MROUND((Output!C29/12-INT(Output!C29/12))*12-INT((Output!C29/12-INT(Output!C29/12))*12),1/8),fract[],2,FALSE))&amp;"''",""),IFERROR(INT(Output!C29)&amp;" "&amp;IF(MROUND((Output!C29-INT(Output!C29)),1/8)=0,"",VLOOKUP(MROUND((Output!C29-INT(Output!C29)),1/8),fract[],2,FALSE))&amp;"''","")),"")</f>
        <v/>
      </c>
      <c r="D30" s="9" t="str">
        <f>IF(ISNUMBER(Output!D29),IFERROR(ROUND(INT(Output!D29/12),3)&amp;"'-"&amp;INT(ROUND((Output!D29/12-INT(Output!D29/12))*12,3))&amp;" "&amp;IF(MROUND(ROUND((Output!D29/12-INT(Output!D29/12))*12,3)-INT(ROUND((Output!D29/12-INT(Output!D29/12))*12,3)),1/8)=0,"",VLOOKUP(MROUND((Output!D29/12-INT(Output!D29/12))*12-INT((Output!D29/12-INT(Output!D29/12))*12),1/8),fract[],2,FALSE))&amp;"''",""),"")</f>
        <v/>
      </c>
      <c r="E30" s="9" t="str">
        <f>IF(ISNUMBER(Output!E29),IF(Output!E29&gt;=12,IFERROR(ROUND(INT(Output!E29)/12,0)&amp;"'-"&amp;INT(ROUND((Output!E29/12-INT(Output!E29/12))*12,2))&amp;" "&amp;IF(MROUND(ROUND((Output!E29/12-INT(Output!E29/12))*12,3)-INT(ROUND((Output!E29/12-INT(Output!E29/12))*12,3)),1/8)=0,"",VLOOKUP(MROUND((Output!E29/12-INT(Output!E29/12))*12-INT((Output!E29/12-INT(Output!E29/12))*12),1/8),fract[],2,FALSE))&amp;"''",""),IFERROR(INT(Output!E29)&amp;" "&amp;IF(MROUND((Output!E29-INT(Output!E29)),1/8)=0,"",VLOOKUP(MROUND((Output!E29-INT(Output!E29)),1/8),fract[],2,FALSE))&amp;"''","")),"")</f>
        <v/>
      </c>
      <c r="F30" s="8"/>
      <c r="G30" s="8"/>
      <c r="H30" s="9" t="str">
        <f t="shared" si="0"/>
        <v/>
      </c>
      <c r="I30" s="9" t="str">
        <f t="shared" si="1"/>
        <v/>
      </c>
      <c r="J30" s="12" t="str">
        <f>IF(ISNUMBER(Output!F29),Output!F29,"")</f>
        <v/>
      </c>
      <c r="K30" s="12" t="str">
        <f>IF(ISNUMBER(Output!G29),Output!G29,"")</f>
        <v/>
      </c>
    </row>
    <row r="31" spans="1:11" ht="18" customHeight="1" x14ac:dyDescent="0.25">
      <c r="A31" s="9" t="str">
        <f>IF(ISBLANK(Output!A30),"",Output!A30)</f>
        <v/>
      </c>
      <c r="B31" s="9" t="str">
        <f>IF(ISBLANK(Output!B30),"",Output!B30)</f>
        <v/>
      </c>
      <c r="C31" s="9" t="str">
        <f>IF(ISNUMBER(Output!C30),IF(Output!C30&gt;=12,IFERROR(ROUND(INT(Output!C30)/12,0)&amp;"'-"&amp;INT(ROUND((Output!C30/12-INT(Output!C30/12))*12,2))&amp;" "&amp;IF(MROUND(ROUND((Output!C30/12-INT(Output!C30/12))*12,3)-INT(ROUND((Output!C30/12-INT(Output!C30/12))*12,3)),1/8)=0,"",VLOOKUP(MROUND((Output!C30/12-INT(Output!C30/12))*12-INT((Output!C30/12-INT(Output!C30/12))*12),1/8),fract[],2,FALSE))&amp;"''",""),IFERROR(INT(Output!C30)&amp;" "&amp;IF(MROUND((Output!C30-INT(Output!C30)),1/8)=0,"",VLOOKUP(MROUND((Output!C30-INT(Output!C30)),1/8),fract[],2,FALSE))&amp;"''","")),"")</f>
        <v/>
      </c>
      <c r="D31" s="9" t="str">
        <f>IF(ISNUMBER(Output!D30),IFERROR(ROUND(INT(Output!D30/12),3)&amp;"'-"&amp;INT(ROUND((Output!D30/12-INT(Output!D30/12))*12,3))&amp;" "&amp;IF(MROUND(ROUND((Output!D30/12-INT(Output!D30/12))*12,3)-INT(ROUND((Output!D30/12-INT(Output!D30/12))*12,3)),1/8)=0,"",VLOOKUP(MROUND((Output!D30/12-INT(Output!D30/12))*12-INT((Output!D30/12-INT(Output!D30/12))*12),1/8),fract[],2,FALSE))&amp;"''",""),"")</f>
        <v/>
      </c>
      <c r="E31" s="9" t="str">
        <f>IF(ISNUMBER(Output!E30),IF(Output!E30&gt;=12,IFERROR(ROUND(INT(Output!E30)/12,0)&amp;"'-"&amp;INT(ROUND((Output!E30/12-INT(Output!E30/12))*12,2))&amp;" "&amp;IF(MROUND(ROUND((Output!E30/12-INT(Output!E30/12))*12,3)-INT(ROUND((Output!E30/12-INT(Output!E30/12))*12,3)),1/8)=0,"",VLOOKUP(MROUND((Output!E30/12-INT(Output!E30/12))*12-INT((Output!E30/12-INT(Output!E30/12))*12),1/8),fract[],2,FALSE))&amp;"''",""),IFERROR(INT(Output!E30)&amp;" "&amp;IF(MROUND((Output!E30-INT(Output!E30)),1/8)=0,"",VLOOKUP(MROUND((Output!E30-INT(Output!E30)),1/8),fract[],2,FALSE))&amp;"''","")),"")</f>
        <v/>
      </c>
      <c r="F31" s="8"/>
      <c r="G31" s="8"/>
      <c r="H31" s="9" t="str">
        <f t="shared" si="0"/>
        <v/>
      </c>
      <c r="I31" s="9" t="str">
        <f t="shared" si="1"/>
        <v/>
      </c>
      <c r="J31" s="12" t="str">
        <f>IF(ISNUMBER(Output!F30),Output!F30,"")</f>
        <v/>
      </c>
      <c r="K31" s="12" t="str">
        <f>IF(ISNUMBER(Output!G30),Output!G30,"")</f>
        <v/>
      </c>
    </row>
    <row r="32" spans="1:11" ht="18" customHeight="1" x14ac:dyDescent="0.25">
      <c r="A32" s="9" t="str">
        <f>IF(ISBLANK(Output!A31),"",Output!A31)</f>
        <v/>
      </c>
      <c r="B32" s="9" t="str">
        <f>IF(ISBLANK(Output!B31),"",Output!B31)</f>
        <v/>
      </c>
      <c r="C32" s="9" t="str">
        <f>IF(ISNUMBER(Output!C31),IF(Output!C31&gt;=12,IFERROR(ROUND(INT(Output!C31)/12,0)&amp;"'-"&amp;INT(ROUND((Output!C31/12-INT(Output!C31/12))*12,2))&amp;" "&amp;IF(MROUND(ROUND((Output!C31/12-INT(Output!C31/12))*12,3)-INT(ROUND((Output!C31/12-INT(Output!C31/12))*12,3)),1/8)=0,"",VLOOKUP(MROUND((Output!C31/12-INT(Output!C31/12))*12-INT((Output!C31/12-INT(Output!C31/12))*12),1/8),fract[],2,FALSE))&amp;"''",""),IFERROR(INT(Output!C31)&amp;" "&amp;IF(MROUND((Output!C31-INT(Output!C31)),1/8)=0,"",VLOOKUP(MROUND((Output!C31-INT(Output!C31)),1/8),fract[],2,FALSE))&amp;"''","")),"")</f>
        <v/>
      </c>
      <c r="D32" s="9" t="str">
        <f>IF(ISNUMBER(Output!D31),IFERROR(ROUND(INT(Output!D31/12),3)&amp;"'-"&amp;INT(ROUND((Output!D31/12-INT(Output!D31/12))*12,3))&amp;" "&amp;IF(MROUND(ROUND((Output!D31/12-INT(Output!D31/12))*12,3)-INT(ROUND((Output!D31/12-INT(Output!D31/12))*12,3)),1/8)=0,"",VLOOKUP(MROUND((Output!D31/12-INT(Output!D31/12))*12-INT((Output!D31/12-INT(Output!D31/12))*12),1/8),fract[],2,FALSE))&amp;"''",""),"")</f>
        <v/>
      </c>
      <c r="E32" s="9" t="str">
        <f>IF(ISNUMBER(Output!E31),IF(Output!E31&gt;=12,IFERROR(ROUND(INT(Output!E31)/12,0)&amp;"'-"&amp;INT(ROUND((Output!E31/12-INT(Output!E31/12))*12,2))&amp;" "&amp;IF(MROUND(ROUND((Output!E31/12-INT(Output!E31/12))*12,3)-INT(ROUND((Output!E31/12-INT(Output!E31/12))*12,3)),1/8)=0,"",VLOOKUP(MROUND((Output!E31/12-INT(Output!E31/12))*12-INT((Output!E31/12-INT(Output!E31/12))*12),1/8),fract[],2,FALSE))&amp;"''",""),IFERROR(INT(Output!E31)&amp;" "&amp;IF(MROUND((Output!E31-INT(Output!E31)),1/8)=0,"",VLOOKUP(MROUND((Output!E31-INT(Output!E31)),1/8),fract[],2,FALSE))&amp;"''","")),"")</f>
        <v/>
      </c>
      <c r="F32" s="8"/>
      <c r="G32" s="8"/>
      <c r="H32" s="9" t="str">
        <f t="shared" si="0"/>
        <v/>
      </c>
      <c r="I32" s="9" t="str">
        <f t="shared" si="1"/>
        <v/>
      </c>
      <c r="J32" s="12" t="str">
        <f>IF(ISNUMBER(Output!F31),Output!F31,"")</f>
        <v/>
      </c>
      <c r="K32" s="12" t="str">
        <f>IF(ISNUMBER(Output!G31),Output!G31,"")</f>
        <v/>
      </c>
    </row>
    <row r="33" spans="1:11" ht="18" customHeight="1" x14ac:dyDescent="0.25">
      <c r="A33" s="9" t="str">
        <f>IF(ISBLANK(Output!A32),"",Output!A32)</f>
        <v/>
      </c>
      <c r="B33" s="9" t="str">
        <f>IF(ISBLANK(Output!B32),"",Output!B32)</f>
        <v/>
      </c>
      <c r="C33" s="9" t="str">
        <f>IF(ISNUMBER(Output!C32),IF(Output!C32&gt;=12,IFERROR(ROUND(INT(Output!C32)/12,0)&amp;"'-"&amp;INT(ROUND((Output!C32/12-INT(Output!C32/12))*12,2))&amp;" "&amp;IF(MROUND(ROUND((Output!C32/12-INT(Output!C32/12))*12,3)-INT(ROUND((Output!C32/12-INT(Output!C32/12))*12,3)),1/8)=0,"",VLOOKUP(MROUND((Output!C32/12-INT(Output!C32/12))*12-INT((Output!C32/12-INT(Output!C32/12))*12),1/8),fract[],2,FALSE))&amp;"''",""),IFERROR(INT(Output!C32)&amp;" "&amp;IF(MROUND((Output!C32-INT(Output!C32)),1/8)=0,"",VLOOKUP(MROUND((Output!C32-INT(Output!C32)),1/8),fract[],2,FALSE))&amp;"''","")),"")</f>
        <v/>
      </c>
      <c r="D33" s="9" t="str">
        <f>IF(ISNUMBER(Output!D32),IFERROR(ROUND(INT(Output!D32/12),3)&amp;"'-"&amp;INT(ROUND((Output!D32/12-INT(Output!D32/12))*12,3))&amp;" "&amp;IF(MROUND(ROUND((Output!D32/12-INT(Output!D32/12))*12,3)-INT(ROUND((Output!D32/12-INT(Output!D32/12))*12,3)),1/8)=0,"",VLOOKUP(MROUND((Output!D32/12-INT(Output!D32/12))*12-INT((Output!D32/12-INT(Output!D32/12))*12),1/8),fract[],2,FALSE))&amp;"''",""),"")</f>
        <v/>
      </c>
      <c r="E33" s="9" t="str">
        <f>IF(ISNUMBER(Output!E32),IF(Output!E32&gt;=12,IFERROR(ROUND(INT(Output!E32)/12,0)&amp;"'-"&amp;INT(ROUND((Output!E32/12-INT(Output!E32/12))*12,2))&amp;" "&amp;IF(MROUND(ROUND((Output!E32/12-INT(Output!E32/12))*12,3)-INT(ROUND((Output!E32/12-INT(Output!E32/12))*12,3)),1/8)=0,"",VLOOKUP(MROUND((Output!E32/12-INT(Output!E32/12))*12-INT((Output!E32/12-INT(Output!E32/12))*12),1/8),fract[],2,FALSE))&amp;"''",""),IFERROR(INT(Output!E32)&amp;" "&amp;IF(MROUND((Output!E32-INT(Output!E32)),1/8)=0,"",VLOOKUP(MROUND((Output!E32-INT(Output!E32)),1/8),fract[],2,FALSE))&amp;"''","")),"")</f>
        <v/>
      </c>
      <c r="F33" s="8"/>
      <c r="G33" s="8"/>
      <c r="H33" s="9" t="str">
        <f t="shared" si="0"/>
        <v/>
      </c>
      <c r="I33" s="9" t="str">
        <f t="shared" si="1"/>
        <v/>
      </c>
      <c r="J33" s="12" t="str">
        <f>IF(ISNUMBER(Output!F32),Output!F32,"")</f>
        <v/>
      </c>
      <c r="K33" s="12" t="str">
        <f>IF(ISNUMBER(Output!G32),Output!G32,"")</f>
        <v/>
      </c>
    </row>
    <row r="34" spans="1:11" ht="18" customHeight="1" x14ac:dyDescent="0.25">
      <c r="A34" s="9" t="str">
        <f>IF(ISBLANK(Output!A33),"",Output!A33)</f>
        <v/>
      </c>
      <c r="B34" s="9" t="str">
        <f>IF(ISBLANK(Output!B33),"",Output!B33)</f>
        <v/>
      </c>
      <c r="C34" s="9" t="str">
        <f>IF(ISNUMBER(Output!C33),IF(Output!C33&gt;=12,IFERROR(ROUND(INT(Output!C33)/12,0)&amp;"'-"&amp;INT(ROUND((Output!C33/12-INT(Output!C33/12))*12,2))&amp;" "&amp;IF(MROUND(ROUND((Output!C33/12-INT(Output!C33/12))*12,3)-INT(ROUND((Output!C33/12-INT(Output!C33/12))*12,3)),1/8)=0,"",VLOOKUP(MROUND((Output!C33/12-INT(Output!C33/12))*12-INT((Output!C33/12-INT(Output!C33/12))*12),1/8),fract[],2,FALSE))&amp;"''",""),IFERROR(INT(Output!C33)&amp;" "&amp;IF(MROUND((Output!C33-INT(Output!C33)),1/8)=0,"",VLOOKUP(MROUND((Output!C33-INT(Output!C33)),1/8),fract[],2,FALSE))&amp;"''","")),"")</f>
        <v/>
      </c>
      <c r="D34" s="9" t="str">
        <f>IF(ISNUMBER(Output!D33),IFERROR(ROUND(INT(Output!D33/12),3)&amp;"'-"&amp;INT(ROUND((Output!D33/12-INT(Output!D33/12))*12,3))&amp;" "&amp;IF(MROUND(ROUND((Output!D33/12-INT(Output!D33/12))*12,3)-INT(ROUND((Output!D33/12-INT(Output!D33/12))*12,3)),1/8)=0,"",VLOOKUP(MROUND((Output!D33/12-INT(Output!D33/12))*12-INT((Output!D33/12-INT(Output!D33/12))*12),1/8),fract[],2,FALSE))&amp;"''",""),"")</f>
        <v/>
      </c>
      <c r="E34" s="9" t="str">
        <f>IF(ISNUMBER(Output!E33),IF(Output!E33&gt;=12,IFERROR(ROUND(INT(Output!E33)/12,0)&amp;"'-"&amp;INT(ROUND((Output!E33/12-INT(Output!E33/12))*12,2))&amp;" "&amp;IF(MROUND(ROUND((Output!E33/12-INT(Output!E33/12))*12,3)-INT(ROUND((Output!E33/12-INT(Output!E33/12))*12,3)),1/8)=0,"",VLOOKUP(MROUND((Output!E33/12-INT(Output!E33/12))*12-INT((Output!E33/12-INT(Output!E33/12))*12),1/8),fract[],2,FALSE))&amp;"''",""),IFERROR(INT(Output!E33)&amp;" "&amp;IF(MROUND((Output!E33-INT(Output!E33)),1/8)=0,"",VLOOKUP(MROUND((Output!E33-INT(Output!E33)),1/8),fract[],2,FALSE))&amp;"''","")),"")</f>
        <v/>
      </c>
      <c r="F34" s="8"/>
      <c r="G34" s="8"/>
      <c r="H34" s="9" t="str">
        <f t="shared" si="0"/>
        <v/>
      </c>
      <c r="I34" s="9" t="str">
        <f t="shared" si="1"/>
        <v/>
      </c>
      <c r="J34" s="12" t="str">
        <f>IF(ISNUMBER(Output!F33),Output!F33,"")</f>
        <v/>
      </c>
      <c r="K34" s="12" t="str">
        <f>IF(ISNUMBER(Output!G33),Output!G33,"")</f>
        <v/>
      </c>
    </row>
    <row r="35" spans="1:11" ht="18" customHeight="1" x14ac:dyDescent="0.25">
      <c r="A35" s="9" t="str">
        <f>IF(ISBLANK(Output!A34),"",Output!A34)</f>
        <v/>
      </c>
      <c r="B35" s="9" t="str">
        <f>IF(ISBLANK(Output!B34),"",Output!B34)</f>
        <v/>
      </c>
      <c r="C35" s="9" t="str">
        <f>IF(ISNUMBER(Output!C34),IF(Output!C34&gt;=12,IFERROR(ROUND(INT(Output!C34)/12,0)&amp;"'-"&amp;INT(ROUND((Output!C34/12-INT(Output!C34/12))*12,2))&amp;" "&amp;IF(MROUND(ROUND((Output!C34/12-INT(Output!C34/12))*12,3)-INT(ROUND((Output!C34/12-INT(Output!C34/12))*12,3)),1/8)=0,"",VLOOKUP(MROUND((Output!C34/12-INT(Output!C34/12))*12-INT((Output!C34/12-INT(Output!C34/12))*12),1/8),fract[],2,FALSE))&amp;"''",""),IFERROR(INT(Output!C34)&amp;" "&amp;IF(MROUND((Output!C34-INT(Output!C34)),1/8)=0,"",VLOOKUP(MROUND((Output!C34-INT(Output!C34)),1/8),fract[],2,FALSE))&amp;"''","")),"")</f>
        <v/>
      </c>
      <c r="D35" s="9" t="str">
        <f>IF(ISNUMBER(Output!D34),IFERROR(ROUND(INT(Output!D34/12),3)&amp;"'-"&amp;INT(ROUND((Output!D34/12-INT(Output!D34/12))*12,3))&amp;" "&amp;IF(MROUND(ROUND((Output!D34/12-INT(Output!D34/12))*12,3)-INT(ROUND((Output!D34/12-INT(Output!D34/12))*12,3)),1/8)=0,"",VLOOKUP(MROUND((Output!D34/12-INT(Output!D34/12))*12-INT((Output!D34/12-INT(Output!D34/12))*12),1/8),fract[],2,FALSE))&amp;"''",""),"")</f>
        <v/>
      </c>
      <c r="E35" s="9" t="str">
        <f>IF(ISNUMBER(Output!E34),IF(Output!E34&gt;=12,IFERROR(ROUND(INT(Output!E34)/12,0)&amp;"'-"&amp;INT(ROUND((Output!E34/12-INT(Output!E34/12))*12,2))&amp;" "&amp;IF(MROUND(ROUND((Output!E34/12-INT(Output!E34/12))*12,3)-INT(ROUND((Output!E34/12-INT(Output!E34/12))*12,3)),1/8)=0,"",VLOOKUP(MROUND((Output!E34/12-INT(Output!E34/12))*12-INT((Output!E34/12-INT(Output!E34/12))*12),1/8),fract[],2,FALSE))&amp;"''",""),IFERROR(INT(Output!E34)&amp;" "&amp;IF(MROUND((Output!E34-INT(Output!E34)),1/8)=0,"",VLOOKUP(MROUND((Output!E34-INT(Output!E34)),1/8),fract[],2,FALSE))&amp;"''","")),"")</f>
        <v/>
      </c>
      <c r="F35" s="8"/>
      <c r="G35" s="8"/>
      <c r="H35" s="9" t="str">
        <f t="shared" si="0"/>
        <v/>
      </c>
      <c r="I35" s="9" t="str">
        <f t="shared" si="1"/>
        <v/>
      </c>
      <c r="J35" s="12" t="str">
        <f>IF(ISNUMBER(Output!F34),Output!F34,"")</f>
        <v/>
      </c>
      <c r="K35" s="12" t="str">
        <f>IF(ISNUMBER(Output!G34),Output!G34,"")</f>
        <v/>
      </c>
    </row>
    <row r="36" spans="1:11" ht="18" customHeight="1" x14ac:dyDescent="0.25">
      <c r="A36" s="9" t="str">
        <f>IF(ISBLANK(Output!A35),"",Output!A35)</f>
        <v/>
      </c>
      <c r="B36" s="9" t="str">
        <f>IF(ISBLANK(Output!B35),"",Output!B35)</f>
        <v/>
      </c>
      <c r="C36" s="9" t="str">
        <f>IF(ISNUMBER(Output!C35),IF(Output!C35&gt;=12,IFERROR(ROUND(INT(Output!C35)/12,0)&amp;"'-"&amp;INT(ROUND((Output!C35/12-INT(Output!C35/12))*12,2))&amp;" "&amp;IF(MROUND(ROUND((Output!C35/12-INT(Output!C35/12))*12,3)-INT(ROUND((Output!C35/12-INT(Output!C35/12))*12,3)),1/8)=0,"",VLOOKUP(MROUND((Output!C35/12-INT(Output!C35/12))*12-INT((Output!C35/12-INT(Output!C35/12))*12),1/8),fract[],2,FALSE))&amp;"''",""),IFERROR(INT(Output!C35)&amp;" "&amp;IF(MROUND((Output!C35-INT(Output!C35)),1/8)=0,"",VLOOKUP(MROUND((Output!C35-INT(Output!C35)),1/8),fract[],2,FALSE))&amp;"''","")),"")</f>
        <v/>
      </c>
      <c r="D36" s="9" t="str">
        <f>IF(ISNUMBER(Output!D35),IFERROR(ROUND(INT(Output!D35/12),3)&amp;"'-"&amp;INT(ROUND((Output!D35/12-INT(Output!D35/12))*12,3))&amp;" "&amp;IF(MROUND(ROUND((Output!D35/12-INT(Output!D35/12))*12,3)-INT(ROUND((Output!D35/12-INT(Output!D35/12))*12,3)),1/8)=0,"",VLOOKUP(MROUND((Output!D35/12-INT(Output!D35/12))*12-INT((Output!D35/12-INT(Output!D35/12))*12),1/8),fract[],2,FALSE))&amp;"''",""),"")</f>
        <v/>
      </c>
      <c r="E36" s="9" t="str">
        <f>IF(ISNUMBER(Output!E35),IF(Output!E35&gt;=12,IFERROR(ROUND(INT(Output!E35)/12,0)&amp;"'-"&amp;INT(ROUND((Output!E35/12-INT(Output!E35/12))*12,2))&amp;" "&amp;IF(MROUND(ROUND((Output!E35/12-INT(Output!E35/12))*12,3)-INT(ROUND((Output!E35/12-INT(Output!E35/12))*12,3)),1/8)=0,"",VLOOKUP(MROUND((Output!E35/12-INT(Output!E35/12))*12-INT((Output!E35/12-INT(Output!E35/12))*12),1/8),fract[],2,FALSE))&amp;"''",""),IFERROR(INT(Output!E35)&amp;" "&amp;IF(MROUND((Output!E35-INT(Output!E35)),1/8)=0,"",VLOOKUP(MROUND((Output!E35-INT(Output!E35)),1/8),fract[],2,FALSE))&amp;"''","")),"")</f>
        <v/>
      </c>
      <c r="F36" s="8"/>
      <c r="G36" s="8"/>
      <c r="H36" s="9" t="str">
        <f t="shared" si="0"/>
        <v/>
      </c>
      <c r="I36" s="9" t="str">
        <f t="shared" si="1"/>
        <v/>
      </c>
      <c r="J36" s="12" t="str">
        <f>IF(ISNUMBER(Output!F35),Output!F35,"")</f>
        <v/>
      </c>
      <c r="K36" s="12" t="str">
        <f>IF(ISNUMBER(Output!G35),Output!G35,"")</f>
        <v/>
      </c>
    </row>
    <row r="37" spans="1:11" ht="18" customHeight="1" x14ac:dyDescent="0.25">
      <c r="A37" s="9" t="str">
        <f>IF(ISBLANK(Output!A36),"",Output!A36)</f>
        <v/>
      </c>
      <c r="B37" s="9" t="str">
        <f>IF(ISBLANK(Output!B36),"",Output!B36)</f>
        <v/>
      </c>
      <c r="C37" s="9" t="str">
        <f>IF(ISNUMBER(Output!C36),IF(Output!C36&gt;=12,IFERROR(ROUND(INT(Output!C36)/12,0)&amp;"'-"&amp;INT(ROUND((Output!C36/12-INT(Output!C36/12))*12,2))&amp;" "&amp;IF(MROUND(ROUND((Output!C36/12-INT(Output!C36/12))*12,3)-INT(ROUND((Output!C36/12-INT(Output!C36/12))*12,3)),1/8)=0,"",VLOOKUP(MROUND((Output!C36/12-INT(Output!C36/12))*12-INT((Output!C36/12-INT(Output!C36/12))*12),1/8),fract[],2,FALSE))&amp;"''",""),IFERROR(INT(Output!C36)&amp;" "&amp;IF(MROUND((Output!C36-INT(Output!C36)),1/8)=0,"",VLOOKUP(MROUND((Output!C36-INT(Output!C36)),1/8),fract[],2,FALSE))&amp;"''","")),"")</f>
        <v/>
      </c>
      <c r="D37" s="9" t="str">
        <f>IF(ISNUMBER(Output!D36),IFERROR(ROUND(INT(Output!D36/12),3)&amp;"'-"&amp;INT(ROUND((Output!D36/12-INT(Output!D36/12))*12,3))&amp;" "&amp;IF(MROUND(ROUND((Output!D36/12-INT(Output!D36/12))*12,3)-INT(ROUND((Output!D36/12-INT(Output!D36/12))*12,3)),1/8)=0,"",VLOOKUP(MROUND((Output!D36/12-INT(Output!D36/12))*12-INT((Output!D36/12-INT(Output!D36/12))*12),1/8),fract[],2,FALSE))&amp;"''",""),"")</f>
        <v/>
      </c>
      <c r="E37" s="9" t="str">
        <f>IF(ISNUMBER(Output!E36),IF(Output!E36&gt;=12,IFERROR(ROUND(INT(Output!E36)/12,0)&amp;"'-"&amp;INT(ROUND((Output!E36/12-INT(Output!E36/12))*12,2))&amp;" "&amp;IF(MROUND(ROUND((Output!E36/12-INT(Output!E36/12))*12,3)-INT(ROUND((Output!E36/12-INT(Output!E36/12))*12,3)),1/8)=0,"",VLOOKUP(MROUND((Output!E36/12-INT(Output!E36/12))*12-INT((Output!E36/12-INT(Output!E36/12))*12),1/8),fract[],2,FALSE))&amp;"''",""),IFERROR(INT(Output!E36)&amp;" "&amp;IF(MROUND((Output!E36-INT(Output!E36)),1/8)=0,"",VLOOKUP(MROUND((Output!E36-INT(Output!E36)),1/8),fract[],2,FALSE))&amp;"''","")),"")</f>
        <v/>
      </c>
      <c r="F37" s="8"/>
      <c r="G37" s="8"/>
      <c r="H37" s="9" t="str">
        <f t="shared" si="0"/>
        <v/>
      </c>
      <c r="I37" s="9" t="str">
        <f t="shared" si="1"/>
        <v/>
      </c>
      <c r="J37" s="12" t="str">
        <f>IF(ISNUMBER(Output!F36),Output!F36,"")</f>
        <v/>
      </c>
      <c r="K37" s="12" t="str">
        <f>IF(ISNUMBER(Output!G36),Output!G36,"")</f>
        <v/>
      </c>
    </row>
    <row r="38" spans="1:11" ht="18" customHeight="1" x14ac:dyDescent="0.25">
      <c r="A38" s="9" t="str">
        <f>IF(ISBLANK(Output!A37),"",Output!A37)</f>
        <v/>
      </c>
      <c r="B38" s="9" t="str">
        <f>IF(ISBLANK(Output!B37),"",Output!B37)</f>
        <v/>
      </c>
      <c r="C38" s="9" t="str">
        <f>IF(ISNUMBER(Output!C37),IF(Output!C37&gt;=12,IFERROR(ROUND(INT(Output!C37)/12,0)&amp;"'-"&amp;INT(ROUND((Output!C37/12-INT(Output!C37/12))*12,2))&amp;" "&amp;IF(MROUND(ROUND((Output!C37/12-INT(Output!C37/12))*12,3)-INT(ROUND((Output!C37/12-INT(Output!C37/12))*12,3)),1/8)=0,"",VLOOKUP(MROUND((Output!C37/12-INT(Output!C37/12))*12-INT((Output!C37/12-INT(Output!C37/12))*12),1/8),fract[],2,FALSE))&amp;"''",""),IFERROR(INT(Output!C37)&amp;" "&amp;IF(MROUND((Output!C37-INT(Output!C37)),1/8)=0,"",VLOOKUP(MROUND((Output!C37-INT(Output!C37)),1/8),fract[],2,FALSE))&amp;"''","")),"")</f>
        <v/>
      </c>
      <c r="D38" s="9" t="str">
        <f>IF(ISNUMBER(Output!D37),IFERROR(ROUND(INT(Output!D37/12),3)&amp;"'-"&amp;INT(ROUND((Output!D37/12-INT(Output!D37/12))*12,3))&amp;" "&amp;IF(MROUND(ROUND((Output!D37/12-INT(Output!D37/12))*12,3)-INT(ROUND((Output!D37/12-INT(Output!D37/12))*12,3)),1/8)=0,"",VLOOKUP(MROUND((Output!D37/12-INT(Output!D37/12))*12-INT((Output!D37/12-INT(Output!D37/12))*12),1/8),fract[],2,FALSE))&amp;"''",""),"")</f>
        <v/>
      </c>
      <c r="E38" s="9" t="str">
        <f>IF(ISNUMBER(Output!E37),IF(Output!E37&gt;=12,IFERROR(ROUND(INT(Output!E37)/12,0)&amp;"'-"&amp;INT(ROUND((Output!E37/12-INT(Output!E37/12))*12,2))&amp;" "&amp;IF(MROUND(ROUND((Output!E37/12-INT(Output!E37/12))*12,3)-INT(ROUND((Output!E37/12-INT(Output!E37/12))*12,3)),1/8)=0,"",VLOOKUP(MROUND((Output!E37/12-INT(Output!E37/12))*12-INT((Output!E37/12-INT(Output!E37/12))*12),1/8),fract[],2,FALSE))&amp;"''",""),IFERROR(INT(Output!E37)&amp;" "&amp;IF(MROUND((Output!E37-INT(Output!E37)),1/8)=0,"",VLOOKUP(MROUND((Output!E37-INT(Output!E37)),1/8),fract[],2,FALSE))&amp;"''","")),"")</f>
        <v/>
      </c>
      <c r="F38" s="8"/>
      <c r="G38" s="8"/>
      <c r="H38" s="9" t="str">
        <f t="shared" si="0"/>
        <v/>
      </c>
      <c r="I38" s="9" t="str">
        <f t="shared" si="1"/>
        <v/>
      </c>
      <c r="J38" s="12" t="str">
        <f>IF(ISNUMBER(Output!F37),Output!F37,"")</f>
        <v/>
      </c>
      <c r="K38" s="12" t="str">
        <f>IF(ISNUMBER(Output!G37),Output!G37,"")</f>
        <v/>
      </c>
    </row>
    <row r="39" spans="1:11" ht="18" customHeight="1" x14ac:dyDescent="0.25">
      <c r="A39" s="9" t="str">
        <f>IF(ISBLANK(Output!A38),"",Output!A38)</f>
        <v/>
      </c>
      <c r="B39" s="9" t="str">
        <f>IF(ISBLANK(Output!B38),"",Output!B38)</f>
        <v/>
      </c>
      <c r="C39" s="9" t="str">
        <f>IF(ISNUMBER(Output!C38),IF(Output!C38&gt;=12,IFERROR(ROUND(INT(Output!C38)/12,0)&amp;"'-"&amp;INT(ROUND((Output!C38/12-INT(Output!C38/12))*12,2))&amp;" "&amp;IF(MROUND(ROUND((Output!C38/12-INT(Output!C38/12))*12,3)-INT(ROUND((Output!C38/12-INT(Output!C38/12))*12,3)),1/8)=0,"",VLOOKUP(MROUND((Output!C38/12-INT(Output!C38/12))*12-INT((Output!C38/12-INT(Output!C38/12))*12),1/8),fract[],2,FALSE))&amp;"''",""),IFERROR(INT(Output!C38)&amp;" "&amp;IF(MROUND((Output!C38-INT(Output!C38)),1/8)=0,"",VLOOKUP(MROUND((Output!C38-INT(Output!C38)),1/8),fract[],2,FALSE))&amp;"''","")),"")</f>
        <v/>
      </c>
      <c r="D39" s="9" t="str">
        <f>IF(ISNUMBER(Output!D38),IFERROR(ROUND(INT(Output!D38/12),3)&amp;"'-"&amp;INT(ROUND((Output!D38/12-INT(Output!D38/12))*12,3))&amp;" "&amp;IF(MROUND(ROUND((Output!D38/12-INT(Output!D38/12))*12,3)-INT(ROUND((Output!D38/12-INT(Output!D38/12))*12,3)),1/8)=0,"",VLOOKUP(MROUND((Output!D38/12-INT(Output!D38/12))*12-INT((Output!D38/12-INT(Output!D38/12))*12),1/8),fract[],2,FALSE))&amp;"''",""),"")</f>
        <v/>
      </c>
      <c r="E39" s="9" t="str">
        <f>IF(ISNUMBER(Output!E38),IF(Output!E38&gt;=12,IFERROR(ROUND(INT(Output!E38)/12,0)&amp;"'-"&amp;INT(ROUND((Output!E38/12-INT(Output!E38/12))*12,2))&amp;" "&amp;IF(MROUND(ROUND((Output!E38/12-INT(Output!E38/12))*12,3)-INT(ROUND((Output!E38/12-INT(Output!E38/12))*12,3)),1/8)=0,"",VLOOKUP(MROUND((Output!E38/12-INT(Output!E38/12))*12-INT((Output!E38/12-INT(Output!E38/12))*12),1/8),fract[],2,FALSE))&amp;"''",""),IFERROR(INT(Output!E38)&amp;" "&amp;IF(MROUND((Output!E38-INT(Output!E38)),1/8)=0,"",VLOOKUP(MROUND((Output!E38-INT(Output!E38)),1/8),fract[],2,FALSE))&amp;"''","")),"")</f>
        <v/>
      </c>
      <c r="F39" s="8"/>
      <c r="G39" s="8"/>
      <c r="H39" s="9" t="str">
        <f t="shared" si="0"/>
        <v/>
      </c>
      <c r="I39" s="9" t="str">
        <f t="shared" si="1"/>
        <v/>
      </c>
      <c r="J39" s="12" t="str">
        <f>IF(ISNUMBER(Output!F38),Output!F38,"")</f>
        <v/>
      </c>
      <c r="K39" s="12" t="str">
        <f>IF(ISNUMBER(Output!G38),Output!G38,"")</f>
        <v/>
      </c>
    </row>
    <row r="40" spans="1:11" ht="18" customHeight="1" x14ac:dyDescent="0.25">
      <c r="A40" s="9" t="str">
        <f>IF(ISBLANK(Output!A39),"",Output!A39)</f>
        <v/>
      </c>
      <c r="B40" s="9" t="str">
        <f>IF(ISBLANK(Output!B39),"",Output!B39)</f>
        <v/>
      </c>
      <c r="C40" s="9" t="str">
        <f>IF(ISNUMBER(Output!C39),IF(Output!C39&gt;=12,IFERROR(ROUND(INT(Output!C39)/12,0)&amp;"'-"&amp;INT(ROUND((Output!C39/12-INT(Output!C39/12))*12,2))&amp;" "&amp;IF(MROUND(ROUND((Output!C39/12-INT(Output!C39/12))*12,3)-INT(ROUND((Output!C39/12-INT(Output!C39/12))*12,3)),1/8)=0,"",VLOOKUP(MROUND((Output!C39/12-INT(Output!C39/12))*12-INT((Output!C39/12-INT(Output!C39/12))*12),1/8),fract[],2,FALSE))&amp;"''",""),IFERROR(INT(Output!C39)&amp;" "&amp;IF(MROUND((Output!C39-INT(Output!C39)),1/8)=0,"",VLOOKUP(MROUND((Output!C39-INT(Output!C39)),1/8),fract[],2,FALSE))&amp;"''","")),"")</f>
        <v/>
      </c>
      <c r="D40" s="9" t="str">
        <f>IF(ISNUMBER(Output!D39),IFERROR(ROUND(INT(Output!D39/12),3)&amp;"'-"&amp;INT(ROUND((Output!D39/12-INT(Output!D39/12))*12,3))&amp;" "&amp;IF(MROUND(ROUND((Output!D39/12-INT(Output!D39/12))*12,3)-INT(ROUND((Output!D39/12-INT(Output!D39/12))*12,3)),1/8)=0,"",VLOOKUP(MROUND((Output!D39/12-INT(Output!D39/12))*12-INT((Output!D39/12-INT(Output!D39/12))*12),1/8),fract[],2,FALSE))&amp;"''",""),"")</f>
        <v/>
      </c>
      <c r="E40" s="9" t="str">
        <f>IF(ISNUMBER(Output!E39),IF(Output!E39&gt;=12,IFERROR(ROUND(INT(Output!E39)/12,0)&amp;"'-"&amp;INT(ROUND((Output!E39/12-INT(Output!E39/12))*12,2))&amp;" "&amp;IF(MROUND(ROUND((Output!E39/12-INT(Output!E39/12))*12,3)-INT(ROUND((Output!E39/12-INT(Output!E39/12))*12,3)),1/8)=0,"",VLOOKUP(MROUND((Output!E39/12-INT(Output!E39/12))*12-INT((Output!E39/12-INT(Output!E39/12))*12),1/8),fract[],2,FALSE))&amp;"''",""),IFERROR(INT(Output!E39)&amp;" "&amp;IF(MROUND((Output!E39-INT(Output!E39)),1/8)=0,"",VLOOKUP(MROUND((Output!E39-INT(Output!E39)),1/8),fract[],2,FALSE))&amp;"''","")),"")</f>
        <v/>
      </c>
      <c r="F40" s="8"/>
      <c r="G40" s="8"/>
      <c r="H40" s="9" t="str">
        <f t="shared" si="0"/>
        <v/>
      </c>
      <c r="I40" s="9" t="str">
        <f t="shared" si="1"/>
        <v/>
      </c>
      <c r="J40" s="12" t="str">
        <f>IF(ISNUMBER(Output!F39),Output!F39,"")</f>
        <v/>
      </c>
      <c r="K40" s="12" t="str">
        <f>IF(ISNUMBER(Output!G39),Output!G39,"")</f>
        <v/>
      </c>
    </row>
    <row r="41" spans="1:11" ht="18" customHeight="1" x14ac:dyDescent="0.25">
      <c r="A41" s="9" t="str">
        <f>IF(ISBLANK(Output!A40),"",Output!A40)</f>
        <v/>
      </c>
      <c r="B41" s="9" t="str">
        <f>IF(ISBLANK(Output!B40),"",Output!B40)</f>
        <v/>
      </c>
      <c r="C41" s="9" t="str">
        <f>IF(ISNUMBER(Output!C40),IF(Output!C40&gt;=12,IFERROR(ROUND(INT(Output!C40)/12,0)&amp;"'-"&amp;INT(ROUND((Output!C40/12-INT(Output!C40/12))*12,2))&amp;" "&amp;IF(MROUND(ROUND((Output!C40/12-INT(Output!C40/12))*12,3)-INT(ROUND((Output!C40/12-INT(Output!C40/12))*12,3)),1/8)=0,"",VLOOKUP(MROUND((Output!C40/12-INT(Output!C40/12))*12-INT((Output!C40/12-INT(Output!C40/12))*12),1/8),fract[],2,FALSE))&amp;"''",""),IFERROR(INT(Output!C40)&amp;" "&amp;IF(MROUND((Output!C40-INT(Output!C40)),1/8)=0,"",VLOOKUP(MROUND((Output!C40-INT(Output!C40)),1/8),fract[],2,FALSE))&amp;"''","")),"")</f>
        <v/>
      </c>
      <c r="D41" s="9" t="str">
        <f>IF(ISNUMBER(Output!D40),IFERROR(ROUND(INT(Output!D40/12),3)&amp;"'-"&amp;INT(ROUND((Output!D40/12-INT(Output!D40/12))*12,3))&amp;" "&amp;IF(MROUND(ROUND((Output!D40/12-INT(Output!D40/12))*12,3)-INT(ROUND((Output!D40/12-INT(Output!D40/12))*12,3)),1/8)=0,"",VLOOKUP(MROUND((Output!D40/12-INT(Output!D40/12))*12-INT((Output!D40/12-INT(Output!D40/12))*12),1/8),fract[],2,FALSE))&amp;"''",""),"")</f>
        <v/>
      </c>
      <c r="E41" s="9" t="str">
        <f>IF(ISNUMBER(Output!E40),IF(Output!E40&gt;=12,IFERROR(ROUND(INT(Output!E40)/12,0)&amp;"'-"&amp;INT(ROUND((Output!E40/12-INT(Output!E40/12))*12,2))&amp;" "&amp;IF(MROUND(ROUND((Output!E40/12-INT(Output!E40/12))*12,3)-INT(ROUND((Output!E40/12-INT(Output!E40/12))*12,3)),1/8)=0,"",VLOOKUP(MROUND((Output!E40/12-INT(Output!E40/12))*12-INT((Output!E40/12-INT(Output!E40/12))*12),1/8),fract[],2,FALSE))&amp;"''",""),IFERROR(INT(Output!E40)&amp;" "&amp;IF(MROUND((Output!E40-INT(Output!E40)),1/8)=0,"",VLOOKUP(MROUND((Output!E40-INT(Output!E40)),1/8),fract[],2,FALSE))&amp;"''","")),"")</f>
        <v/>
      </c>
      <c r="F41" s="8"/>
      <c r="G41" s="8"/>
      <c r="H41" s="9" t="str">
        <f t="shared" si="0"/>
        <v/>
      </c>
      <c r="I41" s="9" t="str">
        <f t="shared" si="1"/>
        <v/>
      </c>
      <c r="J41" s="12" t="str">
        <f>IF(ISNUMBER(Output!F40),Output!F40,"")</f>
        <v/>
      </c>
      <c r="K41" s="12" t="str">
        <f>IF(ISNUMBER(Output!G40),Output!G40,"")</f>
        <v/>
      </c>
    </row>
    <row r="42" spans="1:11" ht="18" customHeight="1" x14ac:dyDescent="0.25">
      <c r="A42" s="9" t="str">
        <f>IF(ISBLANK(Output!A41),"",Output!A41)</f>
        <v/>
      </c>
      <c r="B42" s="9" t="str">
        <f>IF(ISBLANK(Output!B41),"",Output!B41)</f>
        <v/>
      </c>
      <c r="C42" s="9" t="str">
        <f>IF(ISNUMBER(Output!C41),IF(Output!C41&gt;=12,IFERROR(ROUND(INT(Output!C41)/12,0)&amp;"'-"&amp;INT(ROUND((Output!C41/12-INT(Output!C41/12))*12,2))&amp;" "&amp;IF(MROUND(ROUND((Output!C41/12-INT(Output!C41/12))*12,3)-INT(ROUND((Output!C41/12-INT(Output!C41/12))*12,3)),1/8)=0,"",VLOOKUP(MROUND((Output!C41/12-INT(Output!C41/12))*12-INT((Output!C41/12-INT(Output!C41/12))*12),1/8),fract[],2,FALSE))&amp;"''",""),IFERROR(INT(Output!C41)&amp;" "&amp;IF(MROUND((Output!C41-INT(Output!C41)),1/8)=0,"",VLOOKUP(MROUND((Output!C41-INT(Output!C41)),1/8),fract[],2,FALSE))&amp;"''","")),"")</f>
        <v/>
      </c>
      <c r="D42" s="9" t="str">
        <f>IF(ISNUMBER(Output!D41),IFERROR(ROUND(INT(Output!D41/12),3)&amp;"'-"&amp;INT(ROUND((Output!D41/12-INT(Output!D41/12))*12,3))&amp;" "&amp;IF(MROUND(ROUND((Output!D41/12-INT(Output!D41/12))*12,3)-INT(ROUND((Output!D41/12-INT(Output!D41/12))*12,3)),1/8)=0,"",VLOOKUP(MROUND((Output!D41/12-INT(Output!D41/12))*12-INT((Output!D41/12-INT(Output!D41/12))*12),1/8),fract[],2,FALSE))&amp;"''",""),"")</f>
        <v/>
      </c>
      <c r="E42" s="9" t="str">
        <f>IF(ISNUMBER(Output!E41),IF(Output!E41&gt;=12,IFERROR(ROUND(INT(Output!E41)/12,0)&amp;"'-"&amp;INT(ROUND((Output!E41/12-INT(Output!E41/12))*12,2))&amp;" "&amp;IF(MROUND(ROUND((Output!E41/12-INT(Output!E41/12))*12,3)-INT(ROUND((Output!E41/12-INT(Output!E41/12))*12,3)),1/8)=0,"",VLOOKUP(MROUND((Output!E41/12-INT(Output!E41/12))*12-INT((Output!E41/12-INT(Output!E41/12))*12),1/8),fract[],2,FALSE))&amp;"''",""),IFERROR(INT(Output!E41)&amp;" "&amp;IF(MROUND((Output!E41-INT(Output!E41)),1/8)=0,"",VLOOKUP(MROUND((Output!E41-INT(Output!E41)),1/8),fract[],2,FALSE))&amp;"''","")),"")</f>
        <v/>
      </c>
      <c r="F42" s="8"/>
      <c r="G42" s="8"/>
      <c r="H42" s="9" t="str">
        <f t="shared" si="0"/>
        <v/>
      </c>
      <c r="I42" s="9" t="str">
        <f t="shared" si="1"/>
        <v/>
      </c>
      <c r="J42" s="12" t="str">
        <f>IF(ISNUMBER(Output!F41),Output!F41,"")</f>
        <v/>
      </c>
      <c r="K42" s="12" t="str">
        <f>IF(ISNUMBER(Output!G41),Output!G41,"")</f>
        <v/>
      </c>
    </row>
    <row r="43" spans="1:11" ht="18" customHeight="1" x14ac:dyDescent="0.25">
      <c r="A43" s="9" t="str">
        <f>IF(ISBLANK(Output!A42),"",Output!A42)</f>
        <v/>
      </c>
      <c r="B43" s="9" t="str">
        <f>IF(ISBLANK(Output!B42),"",Output!B42)</f>
        <v/>
      </c>
      <c r="C43" s="9" t="str">
        <f>IF(ISNUMBER(Output!C42),IF(Output!C42&gt;=12,IFERROR(ROUND(INT(Output!C42)/12,0)&amp;"'-"&amp;INT(ROUND((Output!C42/12-INT(Output!C42/12))*12,2))&amp;" "&amp;IF(MROUND(ROUND((Output!C42/12-INT(Output!C42/12))*12,3)-INT(ROUND((Output!C42/12-INT(Output!C42/12))*12,3)),1/8)=0,"",VLOOKUP(MROUND((Output!C42/12-INT(Output!C42/12))*12-INT((Output!C42/12-INT(Output!C42/12))*12),1/8),fract[],2,FALSE))&amp;"''",""),IFERROR(INT(Output!C42)&amp;" "&amp;IF(MROUND((Output!C42-INT(Output!C42)),1/8)=0,"",VLOOKUP(MROUND((Output!C42-INT(Output!C42)),1/8),fract[],2,FALSE))&amp;"''","")),"")</f>
        <v/>
      </c>
      <c r="D43" s="9" t="str">
        <f>IF(ISNUMBER(Output!D42),IFERROR(ROUND(INT(Output!D42/12),3)&amp;"'-"&amp;INT(ROUND((Output!D42/12-INT(Output!D42/12))*12,3))&amp;" "&amp;IF(MROUND(ROUND((Output!D42/12-INT(Output!D42/12))*12,3)-INT(ROUND((Output!D42/12-INT(Output!D42/12))*12,3)),1/8)=0,"",VLOOKUP(MROUND((Output!D42/12-INT(Output!D42/12))*12-INT((Output!D42/12-INT(Output!D42/12))*12),1/8),fract[],2,FALSE))&amp;"''",""),"")</f>
        <v/>
      </c>
      <c r="E43" s="9" t="str">
        <f>IF(ISNUMBER(Output!E42),IF(Output!E42&gt;=12,IFERROR(ROUND(INT(Output!E42)/12,0)&amp;"'-"&amp;INT(ROUND((Output!E42/12-INT(Output!E42/12))*12,2))&amp;" "&amp;IF(MROUND(ROUND((Output!E42/12-INT(Output!E42/12))*12,3)-INT(ROUND((Output!E42/12-INT(Output!E42/12))*12,3)),1/8)=0,"",VLOOKUP(MROUND((Output!E42/12-INT(Output!E42/12))*12-INT((Output!E42/12-INT(Output!E42/12))*12),1/8),fract[],2,FALSE))&amp;"''",""),IFERROR(INT(Output!E42)&amp;" "&amp;IF(MROUND((Output!E42-INT(Output!E42)),1/8)=0,"",VLOOKUP(MROUND((Output!E42-INT(Output!E42)),1/8),fract[],2,FALSE))&amp;"''","")),"")</f>
        <v/>
      </c>
      <c r="F43" s="8"/>
      <c r="G43" s="8"/>
      <c r="H43" s="9" t="str">
        <f t="shared" si="0"/>
        <v/>
      </c>
      <c r="I43" s="9" t="str">
        <f t="shared" si="1"/>
        <v/>
      </c>
      <c r="J43" s="12" t="str">
        <f>IF(ISNUMBER(Output!F42),Output!F42,"")</f>
        <v/>
      </c>
      <c r="K43" s="12" t="str">
        <f>IF(ISNUMBER(Output!G42),Output!G42,"")</f>
        <v/>
      </c>
    </row>
    <row r="44" spans="1:11" ht="18" customHeight="1" x14ac:dyDescent="0.25">
      <c r="A44" s="9" t="str">
        <f>IF(ISBLANK(Output!A43),"",Output!A43)</f>
        <v/>
      </c>
      <c r="B44" s="9" t="str">
        <f>IF(ISBLANK(Output!B43),"",Output!B43)</f>
        <v/>
      </c>
      <c r="C44" s="9" t="str">
        <f>IF(ISNUMBER(Output!C43),IF(Output!C43&gt;=12,IFERROR(ROUND(INT(Output!C43)/12,0)&amp;"'-"&amp;INT(ROUND((Output!C43/12-INT(Output!C43/12))*12,2))&amp;" "&amp;IF(MROUND(ROUND((Output!C43/12-INT(Output!C43/12))*12,3)-INT(ROUND((Output!C43/12-INT(Output!C43/12))*12,3)),1/8)=0,"",VLOOKUP(MROUND((Output!C43/12-INT(Output!C43/12))*12-INT((Output!C43/12-INT(Output!C43/12))*12),1/8),fract[],2,FALSE))&amp;"''",""),IFERROR(INT(Output!C43)&amp;" "&amp;IF(MROUND((Output!C43-INT(Output!C43)),1/8)=0,"",VLOOKUP(MROUND((Output!C43-INT(Output!C43)),1/8),fract[],2,FALSE))&amp;"''","")),"")</f>
        <v/>
      </c>
      <c r="D44" s="9" t="str">
        <f>IF(ISNUMBER(Output!D43),IFERROR(ROUND(INT(Output!D43/12),3)&amp;"'-"&amp;INT(ROUND((Output!D43/12-INT(Output!D43/12))*12,3))&amp;" "&amp;IF(MROUND(ROUND((Output!D43/12-INT(Output!D43/12))*12,3)-INT(ROUND((Output!D43/12-INT(Output!D43/12))*12,3)),1/8)=0,"",VLOOKUP(MROUND((Output!D43/12-INT(Output!D43/12))*12-INT((Output!D43/12-INT(Output!D43/12))*12),1/8),fract[],2,FALSE))&amp;"''",""),"")</f>
        <v/>
      </c>
      <c r="E44" s="9" t="str">
        <f>IF(ISNUMBER(Output!E43),IF(Output!E43&gt;=12,IFERROR(ROUND(INT(Output!E43)/12,0)&amp;"'-"&amp;INT(ROUND((Output!E43/12-INT(Output!E43/12))*12,2))&amp;" "&amp;IF(MROUND(ROUND((Output!E43/12-INT(Output!E43/12))*12,3)-INT(ROUND((Output!E43/12-INT(Output!E43/12))*12,3)),1/8)=0,"",VLOOKUP(MROUND((Output!E43/12-INT(Output!E43/12))*12-INT((Output!E43/12-INT(Output!E43/12))*12),1/8),fract[],2,FALSE))&amp;"''",""),IFERROR(INT(Output!E43)&amp;" "&amp;IF(MROUND((Output!E43-INT(Output!E43)),1/8)=0,"",VLOOKUP(MROUND((Output!E43-INT(Output!E43)),1/8),fract[],2,FALSE))&amp;"''","")),"")</f>
        <v/>
      </c>
      <c r="F44" s="8"/>
      <c r="G44" s="8"/>
      <c r="H44" s="9" t="str">
        <f t="shared" si="0"/>
        <v/>
      </c>
      <c r="I44" s="9" t="str">
        <f t="shared" si="1"/>
        <v/>
      </c>
      <c r="J44" s="12" t="str">
        <f>IF(ISNUMBER(Output!F43),Output!F43,"")</f>
        <v/>
      </c>
      <c r="K44" s="12" t="str">
        <f>IF(ISNUMBER(Output!G43),Output!G43,"")</f>
        <v/>
      </c>
    </row>
    <row r="45" spans="1:11" ht="18" customHeight="1" x14ac:dyDescent="0.25">
      <c r="A45" s="9" t="str">
        <f>IF(ISBLANK(Output!A44),"",Output!A44)</f>
        <v/>
      </c>
      <c r="B45" s="9" t="str">
        <f>IF(ISBLANK(Output!B44),"",Output!B44)</f>
        <v/>
      </c>
      <c r="C45" s="9" t="str">
        <f>IF(ISNUMBER(Output!C44),IF(Output!C44&gt;=12,IFERROR(ROUND(INT(Output!C44)/12,0)&amp;"'-"&amp;INT(ROUND((Output!C44/12-INT(Output!C44/12))*12,2))&amp;" "&amp;IF(MROUND(ROUND((Output!C44/12-INT(Output!C44/12))*12,3)-INT(ROUND((Output!C44/12-INT(Output!C44/12))*12,3)),1/8)=0,"",VLOOKUP(MROUND((Output!C44/12-INT(Output!C44/12))*12-INT((Output!C44/12-INT(Output!C44/12))*12),1/8),fract[],2,FALSE))&amp;"''",""),IFERROR(INT(Output!C44)&amp;" "&amp;IF(MROUND((Output!C44-INT(Output!C44)),1/8)=0,"",VLOOKUP(MROUND((Output!C44-INT(Output!C44)),1/8),fract[],2,FALSE))&amp;"''","")),"")</f>
        <v/>
      </c>
      <c r="D45" s="9" t="str">
        <f>IF(ISNUMBER(Output!D44),IFERROR(ROUND(INT(Output!D44/12),3)&amp;"'-"&amp;INT(ROUND((Output!D44/12-INT(Output!D44/12))*12,3))&amp;" "&amp;IF(MROUND(ROUND((Output!D44/12-INT(Output!D44/12))*12,3)-INT(ROUND((Output!D44/12-INT(Output!D44/12))*12,3)),1/8)=0,"",VLOOKUP(MROUND((Output!D44/12-INT(Output!D44/12))*12-INT((Output!D44/12-INT(Output!D44/12))*12),1/8),fract[],2,FALSE))&amp;"''",""),"")</f>
        <v/>
      </c>
      <c r="E45" s="9" t="str">
        <f>IF(ISNUMBER(Output!E44),IF(Output!E44&gt;=12,IFERROR(ROUND(INT(Output!E44)/12,0)&amp;"'-"&amp;INT(ROUND((Output!E44/12-INT(Output!E44/12))*12,2))&amp;" "&amp;IF(MROUND(ROUND((Output!E44/12-INT(Output!E44/12))*12,3)-INT(ROUND((Output!E44/12-INT(Output!E44/12))*12,3)),1/8)=0,"",VLOOKUP(MROUND((Output!E44/12-INT(Output!E44/12))*12-INT((Output!E44/12-INT(Output!E44/12))*12),1/8),fract[],2,FALSE))&amp;"''",""),IFERROR(INT(Output!E44)&amp;" "&amp;IF(MROUND((Output!E44-INT(Output!E44)),1/8)=0,"",VLOOKUP(MROUND((Output!E44-INT(Output!E44)),1/8),fract[],2,FALSE))&amp;"''","")),"")</f>
        <v/>
      </c>
      <c r="F45" s="8"/>
      <c r="G45" s="8"/>
      <c r="H45" s="9" t="str">
        <f t="shared" si="0"/>
        <v/>
      </c>
      <c r="I45" s="9" t="str">
        <f t="shared" si="1"/>
        <v/>
      </c>
      <c r="J45" s="12" t="str">
        <f>IF(ISNUMBER(Output!F44),Output!F44,"")</f>
        <v/>
      </c>
      <c r="K45" s="12" t="str">
        <f>IF(ISNUMBER(Output!G44),Output!G44,"")</f>
        <v/>
      </c>
    </row>
    <row r="46" spans="1:11" ht="18" customHeight="1" x14ac:dyDescent="0.25">
      <c r="A46" s="9" t="str">
        <f>IF(ISBLANK(Output!A45),"",Output!A45)</f>
        <v/>
      </c>
      <c r="B46" s="9" t="str">
        <f>IF(ISBLANK(Output!B45),"",Output!B45)</f>
        <v/>
      </c>
      <c r="C46" s="9" t="str">
        <f>IF(ISNUMBER(Output!C45),IF(Output!C45&gt;=12,IFERROR(ROUND(INT(Output!C45)/12,0)&amp;"'-"&amp;INT(ROUND((Output!C45/12-INT(Output!C45/12))*12,2))&amp;" "&amp;IF(MROUND(ROUND((Output!C45/12-INT(Output!C45/12))*12,3)-INT(ROUND((Output!C45/12-INT(Output!C45/12))*12,3)),1/8)=0,"",VLOOKUP(MROUND((Output!C45/12-INT(Output!C45/12))*12-INT((Output!C45/12-INT(Output!C45/12))*12),1/8),fract[],2,FALSE))&amp;"''",""),IFERROR(INT(Output!C45)&amp;" "&amp;IF(MROUND((Output!C45-INT(Output!C45)),1/8)=0,"",VLOOKUP(MROUND((Output!C45-INT(Output!C45)),1/8),fract[],2,FALSE))&amp;"''","")),"")</f>
        <v/>
      </c>
      <c r="D46" s="9" t="str">
        <f>IF(ISNUMBER(Output!D45),IFERROR(ROUND(INT(Output!D45/12),3)&amp;"'-"&amp;INT(ROUND((Output!D45/12-INT(Output!D45/12))*12,3))&amp;" "&amp;IF(MROUND(ROUND((Output!D45/12-INT(Output!D45/12))*12,3)-INT(ROUND((Output!D45/12-INT(Output!D45/12))*12,3)),1/8)=0,"",VLOOKUP(MROUND((Output!D45/12-INT(Output!D45/12))*12-INT((Output!D45/12-INT(Output!D45/12))*12),1/8),fract[],2,FALSE))&amp;"''",""),"")</f>
        <v/>
      </c>
      <c r="E46" s="9" t="str">
        <f>IF(ISNUMBER(Output!E45),IF(Output!E45&gt;=12,IFERROR(ROUND(INT(Output!E45)/12,0)&amp;"'-"&amp;INT(ROUND((Output!E45/12-INT(Output!E45/12))*12,2))&amp;" "&amp;IF(MROUND(ROUND((Output!E45/12-INT(Output!E45/12))*12,3)-INT(ROUND((Output!E45/12-INT(Output!E45/12))*12,3)),1/8)=0,"",VLOOKUP(MROUND((Output!E45/12-INT(Output!E45/12))*12-INT((Output!E45/12-INT(Output!E45/12))*12),1/8),fract[],2,FALSE))&amp;"''",""),IFERROR(INT(Output!E45)&amp;" "&amp;IF(MROUND((Output!E45-INT(Output!E45)),1/8)=0,"",VLOOKUP(MROUND((Output!E45-INT(Output!E45)),1/8),fract[],2,FALSE))&amp;"''","")),"")</f>
        <v/>
      </c>
      <c r="F46" s="8"/>
      <c r="G46" s="8"/>
      <c r="H46" s="9" t="str">
        <f t="shared" si="0"/>
        <v/>
      </c>
      <c r="I46" s="9" t="str">
        <f t="shared" si="1"/>
        <v/>
      </c>
      <c r="J46" s="12" t="str">
        <f>IF(ISNUMBER(Output!F45),Output!F45,"")</f>
        <v/>
      </c>
      <c r="K46" s="12" t="str">
        <f>IF(ISNUMBER(Output!G45),Output!G45,"")</f>
        <v/>
      </c>
    </row>
    <row r="47" spans="1:11" ht="18" customHeight="1" x14ac:dyDescent="0.25">
      <c r="A47" s="9" t="str">
        <f>IF(ISBLANK(Output!A46),"",Output!A46)</f>
        <v/>
      </c>
      <c r="B47" s="9" t="str">
        <f>IF(ISBLANK(Output!B46),"",Output!B46)</f>
        <v/>
      </c>
      <c r="C47" s="9" t="str">
        <f>IF(ISNUMBER(Output!C46),IF(Output!C46&gt;=12,IFERROR(ROUND(INT(Output!C46)/12,0)&amp;"'-"&amp;INT(ROUND((Output!C46/12-INT(Output!C46/12))*12,2))&amp;" "&amp;IF(MROUND(ROUND((Output!C46/12-INT(Output!C46/12))*12,3)-INT(ROUND((Output!C46/12-INT(Output!C46/12))*12,3)),1/8)=0,"",VLOOKUP(MROUND((Output!C46/12-INT(Output!C46/12))*12-INT((Output!C46/12-INT(Output!C46/12))*12),1/8),fract[],2,FALSE))&amp;"''",""),IFERROR(INT(Output!C46)&amp;" "&amp;IF(MROUND((Output!C46-INT(Output!C46)),1/8)=0,"",VLOOKUP(MROUND((Output!C46-INT(Output!C46)),1/8),fract[],2,FALSE))&amp;"''","")),"")</f>
        <v/>
      </c>
      <c r="D47" s="9" t="str">
        <f>IF(ISNUMBER(Output!D46),IFERROR(ROUND(INT(Output!D46/12),3)&amp;"'-"&amp;INT(ROUND((Output!D46/12-INT(Output!D46/12))*12,3))&amp;" "&amp;IF(MROUND(ROUND((Output!D46/12-INT(Output!D46/12))*12,3)-INT(ROUND((Output!D46/12-INT(Output!D46/12))*12,3)),1/8)=0,"",VLOOKUP(MROUND((Output!D46/12-INT(Output!D46/12))*12-INT((Output!D46/12-INT(Output!D46/12))*12),1/8),fract[],2,FALSE))&amp;"''",""),"")</f>
        <v/>
      </c>
      <c r="E47" s="9" t="str">
        <f>IF(ISNUMBER(Output!E46),IF(Output!E46&gt;=12,IFERROR(ROUND(INT(Output!E46)/12,0)&amp;"'-"&amp;INT(ROUND((Output!E46/12-INT(Output!E46/12))*12,2))&amp;" "&amp;IF(MROUND(ROUND((Output!E46/12-INT(Output!E46/12))*12,3)-INT(ROUND((Output!E46/12-INT(Output!E46/12))*12,3)),1/8)=0,"",VLOOKUP(MROUND((Output!E46/12-INT(Output!E46/12))*12-INT((Output!E46/12-INT(Output!E46/12))*12),1/8),fract[],2,FALSE))&amp;"''",""),IFERROR(INT(Output!E46)&amp;" "&amp;IF(MROUND((Output!E46-INT(Output!E46)),1/8)=0,"",VLOOKUP(MROUND((Output!E46-INT(Output!E46)),1/8),fract[],2,FALSE))&amp;"''","")),"")</f>
        <v/>
      </c>
      <c r="F47" s="8"/>
      <c r="G47" s="8"/>
      <c r="H47" s="9" t="str">
        <f t="shared" si="0"/>
        <v/>
      </c>
      <c r="I47" s="9" t="str">
        <f t="shared" si="1"/>
        <v/>
      </c>
      <c r="J47" s="12" t="str">
        <f>IF(ISNUMBER(Output!F46),Output!F46,"")</f>
        <v/>
      </c>
      <c r="K47" s="12" t="str">
        <f>IF(ISNUMBER(Output!G46),Output!G46,"")</f>
        <v/>
      </c>
    </row>
    <row r="48" spans="1:11" ht="18" customHeight="1" x14ac:dyDescent="0.25">
      <c r="A48" s="9" t="str">
        <f>IF(ISBLANK(Output!A47),"",Output!A47)</f>
        <v/>
      </c>
      <c r="B48" s="9" t="str">
        <f>IF(ISBLANK(Output!B47),"",Output!B47)</f>
        <v/>
      </c>
      <c r="C48" s="9" t="str">
        <f>IF(ISNUMBER(Output!C47),IF(Output!C47&gt;=12,IFERROR(ROUND(INT(Output!C47)/12,0)&amp;"'-"&amp;INT(ROUND((Output!C47/12-INT(Output!C47/12))*12,2))&amp;" "&amp;IF(MROUND(ROUND((Output!C47/12-INT(Output!C47/12))*12,3)-INT(ROUND((Output!C47/12-INT(Output!C47/12))*12,3)),1/8)=0,"",VLOOKUP(MROUND((Output!C47/12-INT(Output!C47/12))*12-INT((Output!C47/12-INT(Output!C47/12))*12),1/8),fract[],2,FALSE))&amp;"''",""),IFERROR(INT(Output!C47)&amp;" "&amp;IF(MROUND((Output!C47-INT(Output!C47)),1/8)=0,"",VLOOKUP(MROUND((Output!C47-INT(Output!C47)),1/8),fract[],2,FALSE))&amp;"''","")),"")</f>
        <v/>
      </c>
      <c r="D48" s="9" t="str">
        <f>IF(ISNUMBER(Output!D47),IFERROR(ROUND(INT(Output!D47/12),3)&amp;"'-"&amp;INT(ROUND((Output!D47/12-INT(Output!D47/12))*12,3))&amp;" "&amp;IF(MROUND(ROUND((Output!D47/12-INT(Output!D47/12))*12,3)-INT(ROUND((Output!D47/12-INT(Output!D47/12))*12,3)),1/8)=0,"",VLOOKUP(MROUND((Output!D47/12-INT(Output!D47/12))*12-INT((Output!D47/12-INT(Output!D47/12))*12),1/8),fract[],2,FALSE))&amp;"''",""),"")</f>
        <v/>
      </c>
      <c r="E48" s="9" t="str">
        <f>IF(ISNUMBER(Output!E47),IF(Output!E47&gt;=12,IFERROR(ROUND(INT(Output!E47)/12,0)&amp;"'-"&amp;INT(ROUND((Output!E47/12-INT(Output!E47/12))*12,2))&amp;" "&amp;IF(MROUND(ROUND((Output!E47/12-INT(Output!E47/12))*12,3)-INT(ROUND((Output!E47/12-INT(Output!E47/12))*12,3)),1/8)=0,"",VLOOKUP(MROUND((Output!E47/12-INT(Output!E47/12))*12-INT((Output!E47/12-INT(Output!E47/12))*12),1/8),fract[],2,FALSE))&amp;"''",""),IFERROR(INT(Output!E47)&amp;" "&amp;IF(MROUND((Output!E47-INT(Output!E47)),1/8)=0,"",VLOOKUP(MROUND((Output!E47-INT(Output!E47)),1/8),fract[],2,FALSE))&amp;"''","")),"")</f>
        <v/>
      </c>
      <c r="F48" s="8"/>
      <c r="G48" s="8"/>
      <c r="H48" s="9" t="str">
        <f t="shared" si="0"/>
        <v/>
      </c>
      <c r="I48" s="9" t="str">
        <f t="shared" si="1"/>
        <v/>
      </c>
      <c r="J48" s="12" t="str">
        <f>IF(ISNUMBER(Output!F47),Output!F47,"")</f>
        <v/>
      </c>
      <c r="K48" s="12" t="str">
        <f>IF(ISNUMBER(Output!G47),Output!G47,"")</f>
        <v/>
      </c>
    </row>
    <row r="49" spans="1:11" ht="18" customHeight="1" x14ac:dyDescent="0.25">
      <c r="A49" s="9" t="str">
        <f>IF(ISBLANK(Output!A48),"",Output!A48)</f>
        <v/>
      </c>
      <c r="B49" s="9" t="str">
        <f>IF(ISBLANK(Output!B48),"",Output!B48)</f>
        <v/>
      </c>
      <c r="C49" s="9" t="str">
        <f>IF(ISNUMBER(Output!C48),IF(Output!C48&gt;=12,IFERROR(ROUND(INT(Output!C48)/12,0)&amp;"'-"&amp;INT(ROUND((Output!C48/12-INT(Output!C48/12))*12,2))&amp;" "&amp;IF(MROUND(ROUND((Output!C48/12-INT(Output!C48/12))*12,3)-INT(ROUND((Output!C48/12-INT(Output!C48/12))*12,3)),1/8)=0,"",VLOOKUP(MROUND((Output!C48/12-INT(Output!C48/12))*12-INT((Output!C48/12-INT(Output!C48/12))*12),1/8),fract[],2,FALSE))&amp;"''",""),IFERROR(INT(Output!C48)&amp;" "&amp;IF(MROUND((Output!C48-INT(Output!C48)),1/8)=0,"",VLOOKUP(MROUND((Output!C48-INT(Output!C48)),1/8),fract[],2,FALSE))&amp;"''","")),"")</f>
        <v/>
      </c>
      <c r="D49" s="9" t="str">
        <f>IF(ISNUMBER(Output!D48),IFERROR(ROUND(INT(Output!D48/12),3)&amp;"'-"&amp;INT(ROUND((Output!D48/12-INT(Output!D48/12))*12,3))&amp;" "&amp;IF(MROUND(ROUND((Output!D48/12-INT(Output!D48/12))*12,3)-INT(ROUND((Output!D48/12-INT(Output!D48/12))*12,3)),1/8)=0,"",VLOOKUP(MROUND((Output!D48/12-INT(Output!D48/12))*12-INT((Output!D48/12-INT(Output!D48/12))*12),1/8),fract[],2,FALSE))&amp;"''",""),"")</f>
        <v/>
      </c>
      <c r="E49" s="9" t="str">
        <f>IF(ISNUMBER(Output!E48),IF(Output!E48&gt;=12,IFERROR(ROUND(INT(Output!E48)/12,0)&amp;"'-"&amp;INT(ROUND((Output!E48/12-INT(Output!E48/12))*12,2))&amp;" "&amp;IF(MROUND(ROUND((Output!E48/12-INT(Output!E48/12))*12,3)-INT(ROUND((Output!E48/12-INT(Output!E48/12))*12,3)),1/8)=0,"",VLOOKUP(MROUND((Output!E48/12-INT(Output!E48/12))*12-INT((Output!E48/12-INT(Output!E48/12))*12),1/8),fract[],2,FALSE))&amp;"''",""),IFERROR(INT(Output!E48)&amp;" "&amp;IF(MROUND((Output!E48-INT(Output!E48)),1/8)=0,"",VLOOKUP(MROUND((Output!E48-INT(Output!E48)),1/8),fract[],2,FALSE))&amp;"''","")),"")</f>
        <v/>
      </c>
      <c r="F49" s="8"/>
      <c r="G49" s="8"/>
      <c r="H49" s="9" t="str">
        <f t="shared" si="0"/>
        <v/>
      </c>
      <c r="I49" s="9" t="str">
        <f t="shared" si="1"/>
        <v/>
      </c>
      <c r="J49" s="12" t="str">
        <f>IF(ISNUMBER(Output!F48),Output!F48,"")</f>
        <v/>
      </c>
      <c r="K49" s="12" t="str">
        <f>IF(ISNUMBER(Output!G48),Output!G48,"")</f>
        <v/>
      </c>
    </row>
    <row r="50" spans="1:11" ht="18" customHeight="1" x14ac:dyDescent="0.25">
      <c r="A50" s="9" t="str">
        <f>IF(ISBLANK(Output!A49),"",Output!A49)</f>
        <v/>
      </c>
      <c r="B50" s="9" t="str">
        <f>IF(ISBLANK(Output!B49),"",Output!B49)</f>
        <v/>
      </c>
      <c r="C50" s="9" t="str">
        <f>IF(ISNUMBER(Output!C49),IF(Output!C49&gt;=12,IFERROR(ROUND(INT(Output!C49)/12,0)&amp;"'-"&amp;INT(ROUND((Output!C49/12-INT(Output!C49/12))*12,2))&amp;" "&amp;IF(MROUND(ROUND((Output!C49/12-INT(Output!C49/12))*12,3)-INT(ROUND((Output!C49/12-INT(Output!C49/12))*12,3)),1/8)=0,"",VLOOKUP(MROUND((Output!C49/12-INT(Output!C49/12))*12-INT((Output!C49/12-INT(Output!C49/12))*12),1/8),fract[],2,FALSE))&amp;"''",""),IFERROR(INT(Output!C49)&amp;" "&amp;IF(MROUND((Output!C49-INT(Output!C49)),1/8)=0,"",VLOOKUP(MROUND((Output!C49-INT(Output!C49)),1/8),fract[],2,FALSE))&amp;"''","")),"")</f>
        <v/>
      </c>
      <c r="D50" s="9" t="str">
        <f>IF(ISNUMBER(Output!D49),IFERROR(ROUND(INT(Output!D49/12),3)&amp;"'-"&amp;INT(ROUND((Output!D49/12-INT(Output!D49/12))*12,3))&amp;" "&amp;IF(MROUND(ROUND((Output!D49/12-INT(Output!D49/12))*12,3)-INT(ROUND((Output!D49/12-INT(Output!D49/12))*12,3)),1/8)=0,"",VLOOKUP(MROUND((Output!D49/12-INT(Output!D49/12))*12-INT((Output!D49/12-INT(Output!D49/12))*12),1/8),fract[],2,FALSE))&amp;"''",""),"")</f>
        <v/>
      </c>
      <c r="E50" s="9" t="str">
        <f>IF(ISNUMBER(Output!E49),IF(Output!E49&gt;=12,IFERROR(ROUND(INT(Output!E49)/12,0)&amp;"'-"&amp;INT(ROUND((Output!E49/12-INT(Output!E49/12))*12,2))&amp;" "&amp;IF(MROUND(ROUND((Output!E49/12-INT(Output!E49/12))*12,3)-INT(ROUND((Output!E49/12-INT(Output!E49/12))*12,3)),1/8)=0,"",VLOOKUP(MROUND((Output!E49/12-INT(Output!E49/12))*12-INT((Output!E49/12-INT(Output!E49/12))*12),1/8),fract[],2,FALSE))&amp;"''",""),IFERROR(INT(Output!E49)&amp;" "&amp;IF(MROUND((Output!E49-INT(Output!E49)),1/8)=0,"",VLOOKUP(MROUND((Output!E49-INT(Output!E49)),1/8),fract[],2,FALSE))&amp;"''","")),"")</f>
        <v/>
      </c>
      <c r="F50" s="8"/>
      <c r="G50" s="8"/>
      <c r="H50" s="9" t="str">
        <f t="shared" si="0"/>
        <v/>
      </c>
      <c r="I50" s="9" t="str">
        <f t="shared" si="1"/>
        <v/>
      </c>
      <c r="J50" s="12" t="str">
        <f>IF(ISNUMBER(Output!F49),Output!F49,"")</f>
        <v/>
      </c>
      <c r="K50" s="12" t="str">
        <f>IF(ISNUMBER(Output!G49),Output!G49,"")</f>
        <v/>
      </c>
    </row>
    <row r="51" spans="1:11" ht="18" customHeight="1" x14ac:dyDescent="0.25">
      <c r="A51" s="9" t="str">
        <f>IF(ISBLANK(Output!A50),"",Output!A50)</f>
        <v/>
      </c>
      <c r="B51" s="9" t="str">
        <f>IF(ISBLANK(Output!B50),"",Output!B50)</f>
        <v/>
      </c>
      <c r="C51" s="9" t="str">
        <f>IF(ISNUMBER(Output!C50),IF(Output!C50&gt;=12,IFERROR(ROUND(INT(Output!C50)/12,0)&amp;"'-"&amp;INT(ROUND((Output!C50/12-INT(Output!C50/12))*12,2))&amp;" "&amp;IF(MROUND(ROUND((Output!C50/12-INT(Output!C50/12))*12,3)-INT(ROUND((Output!C50/12-INT(Output!C50/12))*12,3)),1/8)=0,"",VLOOKUP(MROUND((Output!C50/12-INT(Output!C50/12))*12-INT((Output!C50/12-INT(Output!C50/12))*12),1/8),fract[],2,FALSE))&amp;"''",""),IFERROR(INT(Output!C50)&amp;" "&amp;IF(MROUND((Output!C50-INT(Output!C50)),1/8)=0,"",VLOOKUP(MROUND((Output!C50-INT(Output!C50)),1/8),fract[],2,FALSE))&amp;"''","")),"")</f>
        <v/>
      </c>
      <c r="D51" s="9" t="str">
        <f>IF(ISNUMBER(Output!D50),IFERROR(ROUND(INT(Output!D50/12),3)&amp;"'-"&amp;INT(ROUND((Output!D50/12-INT(Output!D50/12))*12,3))&amp;" "&amp;IF(MROUND(ROUND((Output!D50/12-INT(Output!D50/12))*12,3)-INT(ROUND((Output!D50/12-INT(Output!D50/12))*12,3)),1/8)=0,"",VLOOKUP(MROUND((Output!D50/12-INT(Output!D50/12))*12-INT((Output!D50/12-INT(Output!D50/12))*12),1/8),fract[],2,FALSE))&amp;"''",""),"")</f>
        <v/>
      </c>
      <c r="E51" s="9" t="str">
        <f>IF(ISNUMBER(Output!E50),IF(Output!E50&gt;=12,IFERROR(ROUND(INT(Output!E50)/12,0)&amp;"'-"&amp;INT(ROUND((Output!E50/12-INT(Output!E50/12))*12,2))&amp;" "&amp;IF(MROUND(ROUND((Output!E50/12-INT(Output!E50/12))*12,3)-INT(ROUND((Output!E50/12-INT(Output!E50/12))*12,3)),1/8)=0,"",VLOOKUP(MROUND((Output!E50/12-INT(Output!E50/12))*12-INT((Output!E50/12-INT(Output!E50/12))*12),1/8),fract[],2,FALSE))&amp;"''",""),IFERROR(INT(Output!E50)&amp;" "&amp;IF(MROUND((Output!E50-INT(Output!E50)),1/8)=0,"",VLOOKUP(MROUND((Output!E50-INT(Output!E50)),1/8),fract[],2,FALSE))&amp;"''","")),"")</f>
        <v/>
      </c>
      <c r="F51" s="8"/>
      <c r="G51" s="8"/>
      <c r="H51" s="9" t="str">
        <f t="shared" si="0"/>
        <v/>
      </c>
      <c r="I51" s="9" t="str">
        <f t="shared" si="1"/>
        <v/>
      </c>
      <c r="J51" s="12" t="str">
        <f>IF(ISNUMBER(Output!F50),Output!F50,"")</f>
        <v/>
      </c>
      <c r="K51" s="12" t="str">
        <f>IF(ISNUMBER(Output!G50),Output!G50,"")</f>
        <v/>
      </c>
    </row>
    <row r="52" spans="1:11" ht="18" customHeight="1" x14ac:dyDescent="0.25">
      <c r="A52" s="9" t="str">
        <f>IF(ISBLANK(Output!A51),"",Output!A51)</f>
        <v/>
      </c>
      <c r="B52" s="9" t="str">
        <f>IF(ISBLANK(Output!B51),"",Output!B51)</f>
        <v/>
      </c>
      <c r="C52" s="9" t="str">
        <f>IF(ISNUMBER(Output!C51),IF(Output!C51&gt;=12,IFERROR(ROUND(INT(Output!C51)/12,0)&amp;"'-"&amp;INT(ROUND((Output!C51/12-INT(Output!C51/12))*12,2))&amp;" "&amp;IF(MROUND(ROUND((Output!C51/12-INT(Output!C51/12))*12,3)-INT(ROUND((Output!C51/12-INT(Output!C51/12))*12,3)),1/8)=0,"",VLOOKUP(MROUND((Output!C51/12-INT(Output!C51/12))*12-INT((Output!C51/12-INT(Output!C51/12))*12),1/8),fract[],2,FALSE))&amp;"''",""),IFERROR(INT(Output!C51)&amp;" "&amp;IF(MROUND((Output!C51-INT(Output!C51)),1/8)=0,"",VLOOKUP(MROUND((Output!C51-INT(Output!C51)),1/8),fract[],2,FALSE))&amp;"''","")),"")</f>
        <v/>
      </c>
      <c r="D52" s="9" t="str">
        <f>IF(ISNUMBER(Output!D51),IFERROR(ROUND(INT(Output!D51/12),3)&amp;"'-"&amp;INT(ROUND((Output!D51/12-INT(Output!D51/12))*12,3))&amp;" "&amp;IF(MROUND(ROUND((Output!D51/12-INT(Output!D51/12))*12,3)-INT(ROUND((Output!D51/12-INT(Output!D51/12))*12,3)),1/8)=0,"",VLOOKUP(MROUND((Output!D51/12-INT(Output!D51/12))*12-INT((Output!D51/12-INT(Output!D51/12))*12),1/8),fract[],2,FALSE))&amp;"''",""),"")</f>
        <v/>
      </c>
      <c r="E52" s="9" t="str">
        <f>IF(ISNUMBER(Output!E51),IF(Output!E51&gt;=12,IFERROR(ROUND(INT(Output!E51)/12,0)&amp;"'-"&amp;INT(ROUND((Output!E51/12-INT(Output!E51/12))*12,2))&amp;" "&amp;IF(MROUND(ROUND((Output!E51/12-INT(Output!E51/12))*12,3)-INT(ROUND((Output!E51/12-INT(Output!E51/12))*12,3)),1/8)=0,"",VLOOKUP(MROUND((Output!E51/12-INT(Output!E51/12))*12-INT((Output!E51/12-INT(Output!E51/12))*12),1/8),fract[],2,FALSE))&amp;"''",""),IFERROR(INT(Output!E51)&amp;" "&amp;IF(MROUND((Output!E51-INT(Output!E51)),1/8)=0,"",VLOOKUP(MROUND((Output!E51-INT(Output!E51)),1/8),fract[],2,FALSE))&amp;"''","")),"")</f>
        <v/>
      </c>
      <c r="F52" s="8"/>
      <c r="G52" s="8"/>
      <c r="H52" s="9" t="str">
        <f t="shared" si="0"/>
        <v/>
      </c>
      <c r="I52" s="9" t="str">
        <f t="shared" si="1"/>
        <v/>
      </c>
      <c r="J52" s="12" t="str">
        <f>IF(ISNUMBER(Output!F51),Output!F51,"")</f>
        <v/>
      </c>
      <c r="K52" s="12" t="str">
        <f>IF(ISNUMBER(Output!G51),Output!G51,"")</f>
        <v/>
      </c>
    </row>
    <row r="53" spans="1:11" ht="18" customHeight="1" x14ac:dyDescent="0.25">
      <c r="A53" s="9" t="str">
        <f>IF(ISBLANK(Output!A52),"",Output!A52)</f>
        <v/>
      </c>
      <c r="B53" s="9" t="str">
        <f>IF(ISBLANK(Output!B52),"",Output!B52)</f>
        <v/>
      </c>
      <c r="C53" s="9" t="str">
        <f>IF(ISNUMBER(Output!C52),IF(Output!C52&gt;=12,IFERROR(ROUND(INT(Output!C52)/12,0)&amp;"'-"&amp;INT(ROUND((Output!C52/12-INT(Output!C52/12))*12,2))&amp;" "&amp;IF(MROUND(ROUND((Output!C52/12-INT(Output!C52/12))*12,3)-INT(ROUND((Output!C52/12-INT(Output!C52/12))*12,3)),1/8)=0,"",VLOOKUP(MROUND((Output!C52/12-INT(Output!C52/12))*12-INT((Output!C52/12-INT(Output!C52/12))*12),1/8),fract[],2,FALSE))&amp;"''",""),IFERROR(INT(Output!C52)&amp;" "&amp;IF(MROUND((Output!C52-INT(Output!C52)),1/8)=0,"",VLOOKUP(MROUND((Output!C52-INT(Output!C52)),1/8),fract[],2,FALSE))&amp;"''","")),"")</f>
        <v/>
      </c>
      <c r="D53" s="9" t="str">
        <f>IF(ISNUMBER(Output!D52),IFERROR(ROUND(INT(Output!D52/12),3)&amp;"'-"&amp;INT(ROUND((Output!D52/12-INT(Output!D52/12))*12,3))&amp;" "&amp;IF(MROUND(ROUND((Output!D52/12-INT(Output!D52/12))*12,3)-INT(ROUND((Output!D52/12-INT(Output!D52/12))*12,3)),1/8)=0,"",VLOOKUP(MROUND((Output!D52/12-INT(Output!D52/12))*12-INT((Output!D52/12-INT(Output!D52/12))*12),1/8),fract[],2,FALSE))&amp;"''",""),"")</f>
        <v/>
      </c>
      <c r="E53" s="9" t="str">
        <f>IF(ISNUMBER(Output!E52),IF(Output!E52&gt;=12,IFERROR(ROUND(INT(Output!E52)/12,0)&amp;"'-"&amp;INT(ROUND((Output!E52/12-INT(Output!E52/12))*12,2))&amp;" "&amp;IF(MROUND(ROUND((Output!E52/12-INT(Output!E52/12))*12,3)-INT(ROUND((Output!E52/12-INT(Output!E52/12))*12,3)),1/8)=0,"",VLOOKUP(MROUND((Output!E52/12-INT(Output!E52/12))*12-INT((Output!E52/12-INT(Output!E52/12))*12),1/8),fract[],2,FALSE))&amp;"''",""),IFERROR(INT(Output!E52)&amp;" "&amp;IF(MROUND((Output!E52-INT(Output!E52)),1/8)=0,"",VLOOKUP(MROUND((Output!E52-INT(Output!E52)),1/8),fract[],2,FALSE))&amp;"''","")),"")</f>
        <v/>
      </c>
      <c r="F53" s="8"/>
      <c r="G53" s="8"/>
      <c r="H53" s="9" t="str">
        <f t="shared" si="0"/>
        <v/>
      </c>
      <c r="I53" s="9" t="str">
        <f t="shared" si="1"/>
        <v/>
      </c>
      <c r="J53" s="12" t="str">
        <f>IF(ISNUMBER(Output!F52),Output!F52,"")</f>
        <v/>
      </c>
      <c r="K53" s="12" t="str">
        <f>IF(ISNUMBER(Output!G52),Output!G52,"")</f>
        <v/>
      </c>
    </row>
    <row r="54" spans="1:11" ht="18" customHeight="1" x14ac:dyDescent="0.25">
      <c r="A54" s="9" t="str">
        <f>IF(ISBLANK(Output!A53),"",Output!A53)</f>
        <v/>
      </c>
      <c r="B54" s="9" t="str">
        <f>IF(ISBLANK(Output!B53),"",Output!B53)</f>
        <v/>
      </c>
      <c r="C54" s="9" t="str">
        <f>IF(ISNUMBER(Output!C53),IF(Output!C53&gt;=12,IFERROR(ROUND(INT(Output!C53)/12,0)&amp;"'-"&amp;INT(ROUND((Output!C53/12-INT(Output!C53/12))*12,2))&amp;" "&amp;IF(MROUND(ROUND((Output!C53/12-INT(Output!C53/12))*12,3)-INT(ROUND((Output!C53/12-INT(Output!C53/12))*12,3)),1/8)=0,"",VLOOKUP(MROUND((Output!C53/12-INT(Output!C53/12))*12-INT((Output!C53/12-INT(Output!C53/12))*12),1/8),fract[],2,FALSE))&amp;"''",""),IFERROR(INT(Output!C53)&amp;" "&amp;IF(MROUND((Output!C53-INT(Output!C53)),1/8)=0,"",VLOOKUP(MROUND((Output!C53-INT(Output!C53)),1/8),fract[],2,FALSE))&amp;"''","")),"")</f>
        <v/>
      </c>
      <c r="D54" s="9" t="str">
        <f>IF(ISNUMBER(Output!D53),IFERROR(ROUND(INT(Output!D53/12),3)&amp;"'-"&amp;INT(ROUND((Output!D53/12-INT(Output!D53/12))*12,3))&amp;" "&amp;IF(MROUND(ROUND((Output!D53/12-INT(Output!D53/12))*12,3)-INT(ROUND((Output!D53/12-INT(Output!D53/12))*12,3)),1/8)=0,"",VLOOKUP(MROUND((Output!D53/12-INT(Output!D53/12))*12-INT((Output!D53/12-INT(Output!D53/12))*12),1/8),fract[],2,FALSE))&amp;"''",""),"")</f>
        <v/>
      </c>
      <c r="E54" s="9" t="str">
        <f>IF(ISNUMBER(Output!E53),IF(Output!E53&gt;=12,IFERROR(ROUND(INT(Output!E53)/12,0)&amp;"'-"&amp;INT(ROUND((Output!E53/12-INT(Output!E53/12))*12,2))&amp;" "&amp;IF(MROUND(ROUND((Output!E53/12-INT(Output!E53/12))*12,3)-INT(ROUND((Output!E53/12-INT(Output!E53/12))*12,3)),1/8)=0,"",VLOOKUP(MROUND((Output!E53/12-INT(Output!E53/12))*12-INT((Output!E53/12-INT(Output!E53/12))*12),1/8),fract[],2,FALSE))&amp;"''",""),IFERROR(INT(Output!E53)&amp;" "&amp;IF(MROUND((Output!E53-INT(Output!E53)),1/8)=0,"",VLOOKUP(MROUND((Output!E53-INT(Output!E53)),1/8),fract[],2,FALSE))&amp;"''","")),"")</f>
        <v/>
      </c>
      <c r="F54" s="8"/>
      <c r="G54" s="8"/>
      <c r="H54" s="9" t="str">
        <f t="shared" si="0"/>
        <v/>
      </c>
      <c r="I54" s="9" t="str">
        <f t="shared" si="1"/>
        <v/>
      </c>
      <c r="J54" s="12" t="str">
        <f>IF(ISNUMBER(Output!F53),Output!F53,"")</f>
        <v/>
      </c>
      <c r="K54" s="12" t="str">
        <f>IF(ISNUMBER(Output!G53),Output!G53,"")</f>
        <v/>
      </c>
    </row>
    <row r="55" spans="1:11" ht="18" customHeight="1" x14ac:dyDescent="0.25">
      <c r="A55" s="9" t="str">
        <f>IF(ISBLANK(Output!A54),"",Output!A54)</f>
        <v/>
      </c>
      <c r="B55" s="9" t="str">
        <f>IF(ISBLANK(Output!B54),"",Output!B54)</f>
        <v/>
      </c>
      <c r="C55" s="9" t="str">
        <f>IF(ISNUMBER(Output!C54),IF(Output!C54&gt;=12,IFERROR(ROUND(INT(Output!C54)/12,0)&amp;"'-"&amp;INT(ROUND((Output!C54/12-INT(Output!C54/12))*12,2))&amp;" "&amp;IF(MROUND(ROUND((Output!C54/12-INT(Output!C54/12))*12,3)-INT(ROUND((Output!C54/12-INT(Output!C54/12))*12,3)),1/8)=0,"",VLOOKUP(MROUND((Output!C54/12-INT(Output!C54/12))*12-INT((Output!C54/12-INT(Output!C54/12))*12),1/8),fract[],2,FALSE))&amp;"''",""),IFERROR(INT(Output!C54)&amp;" "&amp;IF(MROUND((Output!C54-INT(Output!C54)),1/8)=0,"",VLOOKUP(MROUND((Output!C54-INT(Output!C54)),1/8),fract[],2,FALSE))&amp;"''","")),"")</f>
        <v/>
      </c>
      <c r="D55" s="9" t="str">
        <f>IF(ISNUMBER(Output!D54),IFERROR(ROUND(INT(Output!D54/12),3)&amp;"'-"&amp;INT(ROUND((Output!D54/12-INT(Output!D54/12))*12,3))&amp;" "&amp;IF(MROUND(ROUND((Output!D54/12-INT(Output!D54/12))*12,3)-INT(ROUND((Output!D54/12-INT(Output!D54/12))*12,3)),1/8)=0,"",VLOOKUP(MROUND((Output!D54/12-INT(Output!D54/12))*12-INT((Output!D54/12-INT(Output!D54/12))*12),1/8),fract[],2,FALSE))&amp;"''",""),"")</f>
        <v/>
      </c>
      <c r="E55" s="9" t="str">
        <f>IF(ISNUMBER(Output!E54),IF(Output!E54&gt;=12,IFERROR(ROUND(INT(Output!E54)/12,0)&amp;"'-"&amp;INT(ROUND((Output!E54/12-INT(Output!E54/12))*12,2))&amp;" "&amp;IF(MROUND(ROUND((Output!E54/12-INT(Output!E54/12))*12,3)-INT(ROUND((Output!E54/12-INT(Output!E54/12))*12,3)),1/8)=0,"",VLOOKUP(MROUND((Output!E54/12-INT(Output!E54/12))*12-INT((Output!E54/12-INT(Output!E54/12))*12),1/8),fract[],2,FALSE))&amp;"''",""),IFERROR(INT(Output!E54)&amp;" "&amp;IF(MROUND((Output!E54-INT(Output!E54)),1/8)=0,"",VLOOKUP(MROUND((Output!E54-INT(Output!E54)),1/8),fract[],2,FALSE))&amp;"''","")),"")</f>
        <v/>
      </c>
      <c r="F55" s="8"/>
      <c r="G55" s="8"/>
      <c r="H55" s="9" t="str">
        <f t="shared" si="0"/>
        <v/>
      </c>
      <c r="I55" s="9" t="str">
        <f t="shared" si="1"/>
        <v/>
      </c>
      <c r="J55" s="12" t="str">
        <f>IF(ISNUMBER(Output!F54),Output!F54,"")</f>
        <v/>
      </c>
      <c r="K55" s="12" t="str">
        <f>IF(ISNUMBER(Output!G54),Output!G54,"")</f>
        <v/>
      </c>
    </row>
    <row r="56" spans="1:11" ht="18" customHeight="1" x14ac:dyDescent="0.25">
      <c r="A56" s="9" t="str">
        <f>IF(ISBLANK(Output!A55),"",Output!A55)</f>
        <v/>
      </c>
      <c r="B56" s="9" t="str">
        <f>IF(ISBLANK(Output!B55),"",Output!B55)</f>
        <v/>
      </c>
      <c r="C56" s="9" t="str">
        <f>IF(ISNUMBER(Output!C55),IF(Output!C55&gt;=12,IFERROR(ROUND(INT(Output!C55)/12,0)&amp;"'-"&amp;INT(ROUND((Output!C55/12-INT(Output!C55/12))*12,2))&amp;" "&amp;IF(MROUND(ROUND((Output!C55/12-INT(Output!C55/12))*12,3)-INT(ROUND((Output!C55/12-INT(Output!C55/12))*12,3)),1/8)=0,"",VLOOKUP(MROUND((Output!C55/12-INT(Output!C55/12))*12-INT((Output!C55/12-INT(Output!C55/12))*12),1/8),fract[],2,FALSE))&amp;"''",""),IFERROR(INT(Output!C55)&amp;" "&amp;IF(MROUND((Output!C55-INT(Output!C55)),1/8)=0,"",VLOOKUP(MROUND((Output!C55-INT(Output!C55)),1/8),fract[],2,FALSE))&amp;"''","")),"")</f>
        <v/>
      </c>
      <c r="D56" s="9" t="str">
        <f>IF(ISNUMBER(Output!D55),IFERROR(ROUND(INT(Output!D55/12),3)&amp;"'-"&amp;INT(ROUND((Output!D55/12-INT(Output!D55/12))*12,3))&amp;" "&amp;IF(MROUND(ROUND((Output!D55/12-INT(Output!D55/12))*12,3)-INT(ROUND((Output!D55/12-INT(Output!D55/12))*12,3)),1/8)=0,"",VLOOKUP(MROUND((Output!D55/12-INT(Output!D55/12))*12-INT((Output!D55/12-INT(Output!D55/12))*12),1/8),fract[],2,FALSE))&amp;"''",""),"")</f>
        <v/>
      </c>
      <c r="E56" s="9" t="str">
        <f>IF(ISNUMBER(Output!E55),IF(Output!E55&gt;=12,IFERROR(ROUND(INT(Output!E55)/12,0)&amp;"'-"&amp;INT(ROUND((Output!E55/12-INT(Output!E55/12))*12,2))&amp;" "&amp;IF(MROUND(ROUND((Output!E55/12-INT(Output!E55/12))*12,3)-INT(ROUND((Output!E55/12-INT(Output!E55/12))*12,3)),1/8)=0,"",VLOOKUP(MROUND((Output!E55/12-INT(Output!E55/12))*12-INT((Output!E55/12-INT(Output!E55/12))*12),1/8),fract[],2,FALSE))&amp;"''",""),IFERROR(INT(Output!E55)&amp;" "&amp;IF(MROUND((Output!E55-INT(Output!E55)),1/8)=0,"",VLOOKUP(MROUND((Output!E55-INT(Output!E55)),1/8),fract[],2,FALSE))&amp;"''","")),"")</f>
        <v/>
      </c>
      <c r="F56" s="8"/>
      <c r="G56" s="8"/>
      <c r="H56" s="9" t="str">
        <f t="shared" si="0"/>
        <v/>
      </c>
      <c r="I56" s="9" t="str">
        <f t="shared" si="1"/>
        <v/>
      </c>
      <c r="J56" s="12" t="str">
        <f>IF(ISNUMBER(Output!F55),Output!F55,"")</f>
        <v/>
      </c>
      <c r="K56" s="12" t="str">
        <f>IF(ISNUMBER(Output!G55),Output!G55,"")</f>
        <v/>
      </c>
    </row>
    <row r="57" spans="1:11" ht="18" customHeight="1" x14ac:dyDescent="0.25">
      <c r="A57" s="9" t="str">
        <f>IF(ISBLANK(Output!A56),"",Output!A56)</f>
        <v/>
      </c>
      <c r="B57" s="9" t="str">
        <f>IF(ISBLANK(Output!B56),"",Output!B56)</f>
        <v/>
      </c>
      <c r="C57" s="9" t="str">
        <f>IF(ISNUMBER(Output!C56),IF(Output!C56&gt;=12,IFERROR(ROUND(INT(Output!C56)/12,0)&amp;"'-"&amp;INT(ROUND((Output!C56/12-INT(Output!C56/12))*12,2))&amp;" "&amp;IF(MROUND(ROUND((Output!C56/12-INT(Output!C56/12))*12,3)-INT(ROUND((Output!C56/12-INT(Output!C56/12))*12,3)),1/8)=0,"",VLOOKUP(MROUND((Output!C56/12-INT(Output!C56/12))*12-INT((Output!C56/12-INT(Output!C56/12))*12),1/8),fract[],2,FALSE))&amp;"''",""),IFERROR(INT(Output!C56)&amp;" "&amp;IF(MROUND((Output!C56-INT(Output!C56)),1/8)=0,"",VLOOKUP(MROUND((Output!C56-INT(Output!C56)),1/8),fract[],2,FALSE))&amp;"''","")),"")</f>
        <v/>
      </c>
      <c r="D57" s="9" t="str">
        <f>IF(ISNUMBER(Output!D56),IFERROR(ROUND(INT(Output!D56/12),3)&amp;"'-"&amp;INT(ROUND((Output!D56/12-INT(Output!D56/12))*12,3))&amp;" "&amp;IF(MROUND(ROUND((Output!D56/12-INT(Output!D56/12))*12,3)-INT(ROUND((Output!D56/12-INT(Output!D56/12))*12,3)),1/8)=0,"",VLOOKUP(MROUND((Output!D56/12-INT(Output!D56/12))*12-INT((Output!D56/12-INT(Output!D56/12))*12),1/8),fract[],2,FALSE))&amp;"''",""),"")</f>
        <v/>
      </c>
      <c r="E57" s="9" t="str">
        <f>IF(ISNUMBER(Output!E56),IF(Output!E56&gt;=12,IFERROR(ROUND(INT(Output!E56)/12,0)&amp;"'-"&amp;INT(ROUND((Output!E56/12-INT(Output!E56/12))*12,2))&amp;" "&amp;IF(MROUND(ROUND((Output!E56/12-INT(Output!E56/12))*12,3)-INT(ROUND((Output!E56/12-INT(Output!E56/12))*12,3)),1/8)=0,"",VLOOKUP(MROUND((Output!E56/12-INT(Output!E56/12))*12-INT((Output!E56/12-INT(Output!E56/12))*12),1/8),fract[],2,FALSE))&amp;"''",""),IFERROR(INT(Output!E56)&amp;" "&amp;IF(MROUND((Output!E56-INT(Output!E56)),1/8)=0,"",VLOOKUP(MROUND((Output!E56-INT(Output!E56)),1/8),fract[],2,FALSE))&amp;"''","")),"")</f>
        <v/>
      </c>
      <c r="F57" s="8"/>
      <c r="G57" s="8"/>
      <c r="H57" s="9" t="str">
        <f t="shared" si="0"/>
        <v/>
      </c>
      <c r="I57" s="9" t="str">
        <f t="shared" si="1"/>
        <v/>
      </c>
      <c r="J57" s="12" t="str">
        <f>IF(ISNUMBER(Output!F56),Output!F56,"")</f>
        <v/>
      </c>
      <c r="K57" s="12" t="str">
        <f>IF(ISNUMBER(Output!G56),Output!G56,"")</f>
        <v/>
      </c>
    </row>
    <row r="58" spans="1:11" ht="18" customHeight="1" x14ac:dyDescent="0.25">
      <c r="A58" s="9" t="str">
        <f>IF(ISBLANK(Output!A57),"",Output!A57)</f>
        <v/>
      </c>
      <c r="B58" s="9" t="str">
        <f>IF(ISBLANK(Output!B57),"",Output!B57)</f>
        <v/>
      </c>
      <c r="C58" s="9" t="str">
        <f>IF(ISNUMBER(Output!C57),IF(Output!C57&gt;=12,IFERROR(ROUND(INT(Output!C57)/12,0)&amp;"'-"&amp;INT(ROUND((Output!C57/12-INT(Output!C57/12))*12,2))&amp;" "&amp;IF(MROUND(ROUND((Output!C57/12-INT(Output!C57/12))*12,3)-INT(ROUND((Output!C57/12-INT(Output!C57/12))*12,3)),1/8)=0,"",VLOOKUP(MROUND((Output!C57/12-INT(Output!C57/12))*12-INT((Output!C57/12-INT(Output!C57/12))*12),1/8),fract[],2,FALSE))&amp;"''",""),IFERROR(INT(Output!C57)&amp;" "&amp;IF(MROUND((Output!C57-INT(Output!C57)),1/8)=0,"",VLOOKUP(MROUND((Output!C57-INT(Output!C57)),1/8),fract[],2,FALSE))&amp;"''","")),"")</f>
        <v/>
      </c>
      <c r="D58" s="9" t="str">
        <f>IF(ISNUMBER(Output!D57),IFERROR(ROUND(INT(Output!D57/12),3)&amp;"'-"&amp;INT(ROUND((Output!D57/12-INT(Output!D57/12))*12,3))&amp;" "&amp;IF(MROUND(ROUND((Output!D57/12-INT(Output!D57/12))*12,3)-INT(ROUND((Output!D57/12-INT(Output!D57/12))*12,3)),1/8)=0,"",VLOOKUP(MROUND((Output!D57/12-INT(Output!D57/12))*12-INT((Output!D57/12-INT(Output!D57/12))*12),1/8),fract[],2,FALSE))&amp;"''",""),"")</f>
        <v/>
      </c>
      <c r="E58" s="9" t="str">
        <f>IF(ISNUMBER(Output!E57),IF(Output!E57&gt;=12,IFERROR(ROUND(INT(Output!E57)/12,0)&amp;"'-"&amp;INT(ROUND((Output!E57/12-INT(Output!E57/12))*12,2))&amp;" "&amp;IF(MROUND(ROUND((Output!E57/12-INT(Output!E57/12))*12,3)-INT(ROUND((Output!E57/12-INT(Output!E57/12))*12,3)),1/8)=0,"",VLOOKUP(MROUND((Output!E57/12-INT(Output!E57/12))*12-INT((Output!E57/12-INT(Output!E57/12))*12),1/8),fract[],2,FALSE))&amp;"''",""),IFERROR(INT(Output!E57)&amp;" "&amp;IF(MROUND((Output!E57-INT(Output!E57)),1/8)=0,"",VLOOKUP(MROUND((Output!E57-INT(Output!E57)),1/8),fract[],2,FALSE))&amp;"''","")),"")</f>
        <v/>
      </c>
      <c r="F58" s="8"/>
      <c r="G58" s="8"/>
      <c r="H58" s="9" t="str">
        <f t="shared" si="0"/>
        <v/>
      </c>
      <c r="I58" s="9" t="str">
        <f t="shared" si="1"/>
        <v/>
      </c>
      <c r="J58" s="12" t="str">
        <f>IF(ISNUMBER(Output!F57),Output!F57,"")</f>
        <v/>
      </c>
      <c r="K58" s="12" t="str">
        <f>IF(ISNUMBER(Output!G57),Output!G57,"")</f>
        <v/>
      </c>
    </row>
    <row r="59" spans="1:11" ht="18" customHeight="1" x14ac:dyDescent="0.25">
      <c r="A59" s="9" t="str">
        <f>IF(ISBLANK(Output!A58),"",Output!A58)</f>
        <v/>
      </c>
      <c r="B59" s="9" t="str">
        <f>IF(ISBLANK(Output!B58),"",Output!B58)</f>
        <v/>
      </c>
      <c r="C59" s="9" t="str">
        <f>IF(ISNUMBER(Output!C58),IF(Output!C58&gt;=12,IFERROR(ROUND(INT(Output!C58)/12,0)&amp;"'-"&amp;INT(ROUND((Output!C58/12-INT(Output!C58/12))*12,2))&amp;" "&amp;IF(MROUND(ROUND((Output!C58/12-INT(Output!C58/12))*12,3)-INT(ROUND((Output!C58/12-INT(Output!C58/12))*12,3)),1/8)=0,"",VLOOKUP(MROUND((Output!C58/12-INT(Output!C58/12))*12-INT((Output!C58/12-INT(Output!C58/12))*12),1/8),fract[],2,FALSE))&amp;"''",""),IFERROR(INT(Output!C58)&amp;" "&amp;IF(MROUND((Output!C58-INT(Output!C58)),1/8)=0,"",VLOOKUP(MROUND((Output!C58-INT(Output!C58)),1/8),fract[],2,FALSE))&amp;"''","")),"")</f>
        <v/>
      </c>
      <c r="D59" s="9" t="str">
        <f>IF(ISNUMBER(Output!D58),IFERROR(ROUND(INT(Output!D58/12),3)&amp;"'-"&amp;INT(ROUND((Output!D58/12-INT(Output!D58/12))*12,3))&amp;" "&amp;IF(MROUND(ROUND((Output!D58/12-INT(Output!D58/12))*12,3)-INT(ROUND((Output!D58/12-INT(Output!D58/12))*12,3)),1/8)=0,"",VLOOKUP(MROUND((Output!D58/12-INT(Output!D58/12))*12-INT((Output!D58/12-INT(Output!D58/12))*12),1/8),fract[],2,FALSE))&amp;"''",""),"")</f>
        <v/>
      </c>
      <c r="E59" s="9" t="str">
        <f>IF(ISNUMBER(Output!E58),IF(Output!E58&gt;=12,IFERROR(ROUND(INT(Output!E58)/12,0)&amp;"'-"&amp;INT(ROUND((Output!E58/12-INT(Output!E58/12))*12,2))&amp;" "&amp;IF(MROUND(ROUND((Output!E58/12-INT(Output!E58/12))*12,3)-INT(ROUND((Output!E58/12-INT(Output!E58/12))*12,3)),1/8)=0,"",VLOOKUP(MROUND((Output!E58/12-INT(Output!E58/12))*12-INT((Output!E58/12-INT(Output!E58/12))*12),1/8),fract[],2,FALSE))&amp;"''",""),IFERROR(INT(Output!E58)&amp;" "&amp;IF(MROUND((Output!E58-INT(Output!E58)),1/8)=0,"",VLOOKUP(MROUND((Output!E58-INT(Output!E58)),1/8),fract[],2,FALSE))&amp;"''","")),"")</f>
        <v/>
      </c>
      <c r="F59" s="8"/>
      <c r="G59" s="8"/>
      <c r="H59" s="9" t="str">
        <f t="shared" si="0"/>
        <v/>
      </c>
      <c r="I59" s="9" t="str">
        <f t="shared" si="1"/>
        <v/>
      </c>
      <c r="J59" s="12" t="str">
        <f>IF(ISNUMBER(Output!F58),Output!F58,"")</f>
        <v/>
      </c>
      <c r="K59" s="12" t="str">
        <f>IF(ISNUMBER(Output!G58),Output!G58,"")</f>
        <v/>
      </c>
    </row>
    <row r="60" spans="1:11" ht="18" customHeight="1" x14ac:dyDescent="0.25">
      <c r="A60" s="9" t="str">
        <f>IF(ISBLANK(Output!A59),"",Output!A59)</f>
        <v/>
      </c>
      <c r="B60" s="9" t="str">
        <f>IF(ISBLANK(Output!B59),"",Output!B59)</f>
        <v/>
      </c>
      <c r="C60" s="9" t="str">
        <f>IF(ISNUMBER(Output!C59),IF(Output!C59&gt;=12,IFERROR(ROUND(INT(Output!C59)/12,0)&amp;"'-"&amp;INT(ROUND((Output!C59/12-INT(Output!C59/12))*12,2))&amp;" "&amp;IF(MROUND(ROUND((Output!C59/12-INT(Output!C59/12))*12,3)-INT(ROUND((Output!C59/12-INT(Output!C59/12))*12,3)),1/8)=0,"",VLOOKUP(MROUND((Output!C59/12-INT(Output!C59/12))*12-INT((Output!C59/12-INT(Output!C59/12))*12),1/8),fract[],2,FALSE))&amp;"''",""),IFERROR(INT(Output!C59)&amp;" "&amp;IF(MROUND((Output!C59-INT(Output!C59)),1/8)=0,"",VLOOKUP(MROUND((Output!C59-INT(Output!C59)),1/8),fract[],2,FALSE))&amp;"''","")),"")</f>
        <v/>
      </c>
      <c r="D60" s="9" t="str">
        <f>IF(ISNUMBER(Output!D59),IFERROR(ROUND(INT(Output!D59/12),3)&amp;"'-"&amp;INT(ROUND((Output!D59/12-INT(Output!D59/12))*12,3))&amp;" "&amp;IF(MROUND(ROUND((Output!D59/12-INT(Output!D59/12))*12,3)-INT(ROUND((Output!D59/12-INT(Output!D59/12))*12,3)),1/8)=0,"",VLOOKUP(MROUND((Output!D59/12-INT(Output!D59/12))*12-INT((Output!D59/12-INT(Output!D59/12))*12),1/8),fract[],2,FALSE))&amp;"''",""),"")</f>
        <v/>
      </c>
      <c r="E60" s="9" t="str">
        <f>IF(ISNUMBER(Output!E59),IF(Output!E59&gt;=12,IFERROR(ROUND(INT(Output!E59)/12,0)&amp;"'-"&amp;INT(ROUND((Output!E59/12-INT(Output!E59/12))*12,2))&amp;" "&amp;IF(MROUND(ROUND((Output!E59/12-INT(Output!E59/12))*12,3)-INT(ROUND((Output!E59/12-INT(Output!E59/12))*12,3)),1/8)=0,"",VLOOKUP(MROUND((Output!E59/12-INT(Output!E59/12))*12-INT((Output!E59/12-INT(Output!E59/12))*12),1/8),fract[],2,FALSE))&amp;"''",""),IFERROR(INT(Output!E59)&amp;" "&amp;IF(MROUND((Output!E59-INT(Output!E59)),1/8)=0,"",VLOOKUP(MROUND((Output!E59-INT(Output!E59)),1/8),fract[],2,FALSE))&amp;"''","")),"")</f>
        <v/>
      </c>
      <c r="F60" s="8"/>
      <c r="G60" s="8"/>
      <c r="H60" s="9" t="str">
        <f t="shared" si="0"/>
        <v/>
      </c>
      <c r="I60" s="9" t="str">
        <f t="shared" si="1"/>
        <v/>
      </c>
      <c r="J60" s="12" t="str">
        <f>IF(ISNUMBER(Output!F59),Output!F59,"")</f>
        <v/>
      </c>
      <c r="K60" s="12" t="str">
        <f>IF(ISNUMBER(Output!G59),Output!G59,"")</f>
        <v/>
      </c>
    </row>
    <row r="61" spans="1:11" ht="18" customHeight="1" x14ac:dyDescent="0.25">
      <c r="A61" s="9" t="str">
        <f>IF(ISBLANK(Output!A60),"",Output!A60)</f>
        <v/>
      </c>
      <c r="B61" s="9" t="str">
        <f>IF(ISBLANK(Output!B60),"",Output!B60)</f>
        <v/>
      </c>
      <c r="C61" s="9" t="str">
        <f>IF(ISNUMBER(Output!C60),IF(Output!C60&gt;=12,IFERROR(ROUND(INT(Output!C60)/12,0)&amp;"'-"&amp;INT(ROUND((Output!C60/12-INT(Output!C60/12))*12,2))&amp;" "&amp;IF(MROUND(ROUND((Output!C60/12-INT(Output!C60/12))*12,3)-INT(ROUND((Output!C60/12-INT(Output!C60/12))*12,3)),1/8)=0,"",VLOOKUP(MROUND((Output!C60/12-INT(Output!C60/12))*12-INT((Output!C60/12-INT(Output!C60/12))*12),1/8),fract[],2,FALSE))&amp;"''",""),IFERROR(INT(Output!C60)&amp;" "&amp;IF(MROUND((Output!C60-INT(Output!C60)),1/8)=0,"",VLOOKUP(MROUND((Output!C60-INT(Output!C60)),1/8),fract[],2,FALSE))&amp;"''","")),"")</f>
        <v/>
      </c>
      <c r="D61" s="9" t="str">
        <f>IF(ISNUMBER(Output!D60),IFERROR(ROUND(INT(Output!D60/12),3)&amp;"'-"&amp;INT(ROUND((Output!D60/12-INT(Output!D60/12))*12,3))&amp;" "&amp;IF(MROUND(ROUND((Output!D60/12-INT(Output!D60/12))*12,3)-INT(ROUND((Output!D60/12-INT(Output!D60/12))*12,3)),1/8)=0,"",VLOOKUP(MROUND((Output!D60/12-INT(Output!D60/12))*12-INT((Output!D60/12-INT(Output!D60/12))*12),1/8),fract[],2,FALSE))&amp;"''",""),"")</f>
        <v/>
      </c>
      <c r="E61" s="9" t="str">
        <f>IF(ISNUMBER(Output!E60),IF(Output!E60&gt;=12,IFERROR(ROUND(INT(Output!E60)/12,0)&amp;"'-"&amp;INT(ROUND((Output!E60/12-INT(Output!E60/12))*12,2))&amp;" "&amp;IF(MROUND(ROUND((Output!E60/12-INT(Output!E60/12))*12,3)-INT(ROUND((Output!E60/12-INT(Output!E60/12))*12,3)),1/8)=0,"",VLOOKUP(MROUND((Output!E60/12-INT(Output!E60/12))*12-INT((Output!E60/12-INT(Output!E60/12))*12),1/8),fract[],2,FALSE))&amp;"''",""),IFERROR(INT(Output!E60)&amp;" "&amp;IF(MROUND((Output!E60-INT(Output!E60)),1/8)=0,"",VLOOKUP(MROUND((Output!E60-INT(Output!E60)),1/8),fract[],2,FALSE))&amp;"''","")),"")</f>
        <v/>
      </c>
      <c r="F61" s="8"/>
      <c r="G61" s="8"/>
      <c r="H61" s="9" t="str">
        <f t="shared" si="0"/>
        <v/>
      </c>
      <c r="I61" s="9" t="str">
        <f t="shared" si="1"/>
        <v/>
      </c>
      <c r="J61" s="12" t="str">
        <f>IF(ISNUMBER(Output!F60),Output!F60,"")</f>
        <v/>
      </c>
      <c r="K61" s="12" t="str">
        <f>IF(ISNUMBER(Output!G60),Output!G60,"")</f>
        <v/>
      </c>
    </row>
    <row r="62" spans="1:11" ht="18" customHeight="1" x14ac:dyDescent="0.25">
      <c r="A62" s="9" t="str">
        <f>IF(ISBLANK(Output!A61),"",Output!A61)</f>
        <v/>
      </c>
      <c r="B62" s="9" t="str">
        <f>IF(ISBLANK(Output!B61),"",Output!B61)</f>
        <v/>
      </c>
      <c r="C62" s="9" t="str">
        <f>IF(ISNUMBER(Output!C61),IF(Output!C61&gt;=12,IFERROR(ROUND(INT(Output!C61)/12,0)&amp;"'-"&amp;INT(ROUND((Output!C61/12-INT(Output!C61/12))*12,2))&amp;" "&amp;IF(MROUND(ROUND((Output!C61/12-INT(Output!C61/12))*12,3)-INT(ROUND((Output!C61/12-INT(Output!C61/12))*12,3)),1/8)=0,"",VLOOKUP(MROUND((Output!C61/12-INT(Output!C61/12))*12-INT((Output!C61/12-INT(Output!C61/12))*12),1/8),fract[],2,FALSE))&amp;"''",""),IFERROR(INT(Output!C61)&amp;" "&amp;IF(MROUND((Output!C61-INT(Output!C61)),1/8)=0,"",VLOOKUP(MROUND((Output!C61-INT(Output!C61)),1/8),fract[],2,FALSE))&amp;"''","")),"")</f>
        <v/>
      </c>
      <c r="D62" s="9" t="str">
        <f>IF(ISNUMBER(Output!D61),IFERROR(ROUND(INT(Output!D61/12),3)&amp;"'-"&amp;INT(ROUND((Output!D61/12-INT(Output!D61/12))*12,3))&amp;" "&amp;IF(MROUND(ROUND((Output!D61/12-INT(Output!D61/12))*12,3)-INT(ROUND((Output!D61/12-INT(Output!D61/12))*12,3)),1/8)=0,"",VLOOKUP(MROUND((Output!D61/12-INT(Output!D61/12))*12-INT((Output!D61/12-INT(Output!D61/12))*12),1/8),fract[],2,FALSE))&amp;"''",""),"")</f>
        <v/>
      </c>
      <c r="E62" s="9" t="str">
        <f>IF(ISNUMBER(Output!E61),IF(Output!E61&gt;=12,IFERROR(ROUND(INT(Output!E61)/12,0)&amp;"'-"&amp;INT(ROUND((Output!E61/12-INT(Output!E61/12))*12,2))&amp;" "&amp;IF(MROUND(ROUND((Output!E61/12-INT(Output!E61/12))*12,3)-INT(ROUND((Output!E61/12-INT(Output!E61/12))*12,3)),1/8)=0,"",VLOOKUP(MROUND((Output!E61/12-INT(Output!E61/12))*12-INT((Output!E61/12-INT(Output!E61/12))*12),1/8),fract[],2,FALSE))&amp;"''",""),IFERROR(INT(Output!E61)&amp;" "&amp;IF(MROUND((Output!E61-INT(Output!E61)),1/8)=0,"",VLOOKUP(MROUND((Output!E61-INT(Output!E61)),1/8),fract[],2,FALSE))&amp;"''","")),"")</f>
        <v/>
      </c>
      <c r="F62" s="8"/>
      <c r="G62" s="8"/>
      <c r="H62" s="9" t="str">
        <f t="shared" si="0"/>
        <v/>
      </c>
      <c r="I62" s="9" t="str">
        <f t="shared" si="1"/>
        <v/>
      </c>
      <c r="J62" s="12" t="str">
        <f>IF(ISNUMBER(Output!F61),Output!F61,"")</f>
        <v/>
      </c>
      <c r="K62" s="12" t="str">
        <f>IF(ISNUMBER(Output!G61),Output!G61,"")</f>
        <v/>
      </c>
    </row>
    <row r="63" spans="1:11" ht="18" customHeight="1" x14ac:dyDescent="0.25">
      <c r="A63" s="9" t="str">
        <f>IF(ISBLANK(Output!A62),"",Output!A62)</f>
        <v/>
      </c>
      <c r="B63" s="9" t="str">
        <f>IF(ISBLANK(Output!B62),"",Output!B62)</f>
        <v/>
      </c>
      <c r="C63" s="9" t="str">
        <f>IF(ISNUMBER(Output!C62),IF(Output!C62&gt;=12,IFERROR(ROUND(INT(Output!C62)/12,0)&amp;"'-"&amp;INT(ROUND((Output!C62/12-INT(Output!C62/12))*12,2))&amp;" "&amp;IF(MROUND(ROUND((Output!C62/12-INT(Output!C62/12))*12,3)-INT(ROUND((Output!C62/12-INT(Output!C62/12))*12,3)),1/8)=0,"",VLOOKUP(MROUND((Output!C62/12-INT(Output!C62/12))*12-INT((Output!C62/12-INT(Output!C62/12))*12),1/8),fract[],2,FALSE))&amp;"''",""),IFERROR(INT(Output!C62)&amp;" "&amp;IF(MROUND((Output!C62-INT(Output!C62)),1/8)=0,"",VLOOKUP(MROUND((Output!C62-INT(Output!C62)),1/8),fract[],2,FALSE))&amp;"''","")),"")</f>
        <v/>
      </c>
      <c r="D63" s="9" t="str">
        <f>IF(ISNUMBER(Output!D62),IFERROR(ROUND(INT(Output!D62/12),3)&amp;"'-"&amp;INT(ROUND((Output!D62/12-INT(Output!D62/12))*12,3))&amp;" "&amp;IF(MROUND(ROUND((Output!D62/12-INT(Output!D62/12))*12,3)-INT(ROUND((Output!D62/12-INT(Output!D62/12))*12,3)),1/8)=0,"",VLOOKUP(MROUND((Output!D62/12-INT(Output!D62/12))*12-INT((Output!D62/12-INT(Output!D62/12))*12),1/8),fract[],2,FALSE))&amp;"''",""),"")</f>
        <v/>
      </c>
      <c r="E63" s="9" t="str">
        <f>IF(ISNUMBER(Output!E62),IF(Output!E62&gt;=12,IFERROR(ROUND(INT(Output!E62)/12,0)&amp;"'-"&amp;INT(ROUND((Output!E62/12-INT(Output!E62/12))*12,2))&amp;" "&amp;IF(MROUND(ROUND((Output!E62/12-INT(Output!E62/12))*12,3)-INT(ROUND((Output!E62/12-INT(Output!E62/12))*12,3)),1/8)=0,"",VLOOKUP(MROUND((Output!E62/12-INT(Output!E62/12))*12-INT((Output!E62/12-INT(Output!E62/12))*12),1/8),fract[],2,FALSE))&amp;"''",""),IFERROR(INT(Output!E62)&amp;" "&amp;IF(MROUND((Output!E62-INT(Output!E62)),1/8)=0,"",VLOOKUP(MROUND((Output!E62-INT(Output!E62)),1/8),fract[],2,FALSE))&amp;"''","")),"")</f>
        <v/>
      </c>
      <c r="F63" s="8"/>
      <c r="G63" s="8"/>
      <c r="H63" s="9" t="str">
        <f t="shared" si="0"/>
        <v/>
      </c>
      <c r="I63" s="9" t="str">
        <f t="shared" si="1"/>
        <v/>
      </c>
      <c r="J63" s="12" t="str">
        <f>IF(ISNUMBER(Output!F62),Output!F62,"")</f>
        <v/>
      </c>
      <c r="K63" s="12" t="str">
        <f>IF(ISNUMBER(Output!G62),Output!G62,"")</f>
        <v/>
      </c>
    </row>
    <row r="64" spans="1:11" ht="18" customHeight="1" x14ac:dyDescent="0.25">
      <c r="A64" s="9" t="str">
        <f>IF(ISBLANK(Output!A63),"",Output!A63)</f>
        <v/>
      </c>
      <c r="B64" s="9" t="str">
        <f>IF(ISBLANK(Output!B63),"",Output!B63)</f>
        <v/>
      </c>
      <c r="C64" s="9" t="str">
        <f>IF(ISNUMBER(Output!C63),IF(Output!C63&gt;=12,IFERROR(ROUND(INT(Output!C63)/12,0)&amp;"'-"&amp;INT(ROUND((Output!C63/12-INT(Output!C63/12))*12,2))&amp;" "&amp;IF(MROUND(ROUND((Output!C63/12-INT(Output!C63/12))*12,3)-INT(ROUND((Output!C63/12-INT(Output!C63/12))*12,3)),1/8)=0,"",VLOOKUP(MROUND((Output!C63/12-INT(Output!C63/12))*12-INT((Output!C63/12-INT(Output!C63/12))*12),1/8),fract[],2,FALSE))&amp;"''",""),IFERROR(INT(Output!C63)&amp;" "&amp;IF(MROUND((Output!C63-INT(Output!C63)),1/8)=0,"",VLOOKUP(MROUND((Output!C63-INT(Output!C63)),1/8),fract[],2,FALSE))&amp;"''","")),"")</f>
        <v/>
      </c>
      <c r="D64" s="9" t="str">
        <f>IF(ISNUMBER(Output!D63),IFERROR(ROUND(INT(Output!D63/12),3)&amp;"'-"&amp;INT(ROUND((Output!D63/12-INT(Output!D63/12))*12,3))&amp;" "&amp;IF(MROUND(ROUND((Output!D63/12-INT(Output!D63/12))*12,3)-INT(ROUND((Output!D63/12-INT(Output!D63/12))*12,3)),1/8)=0,"",VLOOKUP(MROUND((Output!D63/12-INT(Output!D63/12))*12-INT((Output!D63/12-INT(Output!D63/12))*12),1/8),fract[],2,FALSE))&amp;"''",""),"")</f>
        <v/>
      </c>
      <c r="E64" s="9" t="str">
        <f>IF(ISNUMBER(Output!E63),IF(Output!E63&gt;=12,IFERROR(ROUND(INT(Output!E63)/12,0)&amp;"'-"&amp;INT(ROUND((Output!E63/12-INT(Output!E63/12))*12,2))&amp;" "&amp;IF(MROUND(ROUND((Output!E63/12-INT(Output!E63/12))*12,3)-INT(ROUND((Output!E63/12-INT(Output!E63/12))*12,3)),1/8)=0,"",VLOOKUP(MROUND((Output!E63/12-INT(Output!E63/12))*12-INT((Output!E63/12-INT(Output!E63/12))*12),1/8),fract[],2,FALSE))&amp;"''",""),IFERROR(INT(Output!E63)&amp;" "&amp;IF(MROUND((Output!E63-INT(Output!E63)),1/8)=0,"",VLOOKUP(MROUND((Output!E63-INT(Output!E63)),1/8),fract[],2,FALSE))&amp;"''","")),"")</f>
        <v/>
      </c>
      <c r="F64" s="8"/>
      <c r="G64" s="8"/>
      <c r="H64" s="9" t="str">
        <f t="shared" si="0"/>
        <v/>
      </c>
      <c r="I64" s="9" t="str">
        <f t="shared" si="1"/>
        <v/>
      </c>
      <c r="J64" s="12" t="str">
        <f>IF(ISNUMBER(Output!F63),Output!F63,"")</f>
        <v/>
      </c>
      <c r="K64" s="12" t="str">
        <f>IF(ISNUMBER(Output!G63),Output!G63,"")</f>
        <v/>
      </c>
    </row>
    <row r="65" spans="1:11" ht="18" customHeight="1" x14ac:dyDescent="0.25">
      <c r="A65" s="9" t="str">
        <f>IF(ISBLANK(Output!A64),"",Output!A64)</f>
        <v/>
      </c>
      <c r="B65" s="9" t="str">
        <f>IF(ISBLANK(Output!B64),"",Output!B64)</f>
        <v/>
      </c>
      <c r="C65" s="9" t="str">
        <f>IF(ISNUMBER(Output!C64),IF(Output!C64&gt;=12,IFERROR(ROUND(INT(Output!C64)/12,0)&amp;"'-"&amp;INT(ROUND((Output!C64/12-INT(Output!C64/12))*12,2))&amp;" "&amp;IF(MROUND(ROUND((Output!C64/12-INT(Output!C64/12))*12,3)-INT(ROUND((Output!C64/12-INT(Output!C64/12))*12,3)),1/8)=0,"",VLOOKUP(MROUND((Output!C64/12-INT(Output!C64/12))*12-INT((Output!C64/12-INT(Output!C64/12))*12),1/8),fract[],2,FALSE))&amp;"''",""),IFERROR(INT(Output!C64)&amp;" "&amp;IF(MROUND((Output!C64-INT(Output!C64)),1/8)=0,"",VLOOKUP(MROUND((Output!C64-INT(Output!C64)),1/8),fract[],2,FALSE))&amp;"''","")),"")</f>
        <v/>
      </c>
      <c r="D65" s="9" t="str">
        <f>IF(ISNUMBER(Output!D64),IFERROR(ROUND(INT(Output!D64/12),3)&amp;"'-"&amp;INT(ROUND((Output!D64/12-INT(Output!D64/12))*12,3))&amp;" "&amp;IF(MROUND(ROUND((Output!D64/12-INT(Output!D64/12))*12,3)-INT(ROUND((Output!D64/12-INT(Output!D64/12))*12,3)),1/8)=0,"",VLOOKUP(MROUND((Output!D64/12-INT(Output!D64/12))*12-INT((Output!D64/12-INT(Output!D64/12))*12),1/8),fract[],2,FALSE))&amp;"''",""),"")</f>
        <v/>
      </c>
      <c r="E65" s="9" t="str">
        <f>IF(ISNUMBER(Output!E64),IF(Output!E64&gt;=12,IFERROR(ROUND(INT(Output!E64)/12,0)&amp;"'-"&amp;INT(ROUND((Output!E64/12-INT(Output!E64/12))*12,2))&amp;" "&amp;IF(MROUND(ROUND((Output!E64/12-INT(Output!E64/12))*12,3)-INT(ROUND((Output!E64/12-INT(Output!E64/12))*12,3)),1/8)=0,"",VLOOKUP(MROUND((Output!E64/12-INT(Output!E64/12))*12-INT((Output!E64/12-INT(Output!E64/12))*12),1/8),fract[],2,FALSE))&amp;"''",""),IFERROR(INT(Output!E64)&amp;" "&amp;IF(MROUND((Output!E64-INT(Output!E64)),1/8)=0,"",VLOOKUP(MROUND((Output!E64-INT(Output!E64)),1/8),fract[],2,FALSE))&amp;"''","")),"")</f>
        <v/>
      </c>
      <c r="F65" s="8"/>
      <c r="G65" s="8"/>
      <c r="H65" s="9" t="str">
        <f t="shared" si="0"/>
        <v/>
      </c>
      <c r="I65" s="9" t="str">
        <f t="shared" si="1"/>
        <v/>
      </c>
      <c r="J65" s="12" t="str">
        <f>IF(ISNUMBER(Output!F64),Output!F64,"")</f>
        <v/>
      </c>
      <c r="K65" s="12" t="str">
        <f>IF(ISNUMBER(Output!G64),Output!G64,"")</f>
        <v/>
      </c>
    </row>
    <row r="66" spans="1:11" ht="18" customHeight="1" x14ac:dyDescent="0.25">
      <c r="A66" s="9" t="str">
        <f>IF(ISBLANK(Output!A65),"",Output!A65)</f>
        <v/>
      </c>
      <c r="B66" s="9" t="str">
        <f>IF(ISBLANK(Output!B65),"",Output!B65)</f>
        <v/>
      </c>
      <c r="C66" s="9" t="str">
        <f>IF(ISNUMBER(Output!C65),IF(Output!C65&gt;=12,IFERROR(ROUND(INT(Output!C65)/12,0)&amp;"'-"&amp;INT(ROUND((Output!C65/12-INT(Output!C65/12))*12,2))&amp;" "&amp;IF(MROUND(ROUND((Output!C65/12-INT(Output!C65/12))*12,3)-INT(ROUND((Output!C65/12-INT(Output!C65/12))*12,3)),1/8)=0,"",VLOOKUP(MROUND((Output!C65/12-INT(Output!C65/12))*12-INT((Output!C65/12-INT(Output!C65/12))*12),1/8),fract[],2,FALSE))&amp;"''",""),IFERROR(INT(Output!C65)&amp;" "&amp;IF(MROUND((Output!C65-INT(Output!C65)),1/8)=0,"",VLOOKUP(MROUND((Output!C65-INT(Output!C65)),1/8),fract[],2,FALSE))&amp;"''","")),"")</f>
        <v/>
      </c>
      <c r="D66" s="9" t="str">
        <f>IF(ISNUMBER(Output!D65),IFERROR(ROUND(INT(Output!D65/12),3)&amp;"'-"&amp;INT(ROUND((Output!D65/12-INT(Output!D65/12))*12,3))&amp;" "&amp;IF(MROUND(ROUND((Output!D65/12-INT(Output!D65/12))*12,3)-INT(ROUND((Output!D65/12-INT(Output!D65/12))*12,3)),1/8)=0,"",VLOOKUP(MROUND((Output!D65/12-INT(Output!D65/12))*12-INT((Output!D65/12-INT(Output!D65/12))*12),1/8),fract[],2,FALSE))&amp;"''",""),"")</f>
        <v/>
      </c>
      <c r="E66" s="9" t="str">
        <f>IF(ISNUMBER(Output!E65),IF(Output!E65&gt;=12,IFERROR(ROUND(INT(Output!E65)/12,0)&amp;"'-"&amp;INT(ROUND((Output!E65/12-INT(Output!E65/12))*12,2))&amp;" "&amp;IF(MROUND(ROUND((Output!E65/12-INT(Output!E65/12))*12,3)-INT(ROUND((Output!E65/12-INT(Output!E65/12))*12,3)),1/8)=0,"",VLOOKUP(MROUND((Output!E65/12-INT(Output!E65/12))*12-INT((Output!E65/12-INT(Output!E65/12))*12),1/8),fract[],2,FALSE))&amp;"''",""),IFERROR(INT(Output!E65)&amp;" "&amp;IF(MROUND((Output!E65-INT(Output!E65)),1/8)=0,"",VLOOKUP(MROUND((Output!E65-INT(Output!E65)),1/8),fract[],2,FALSE))&amp;"''","")),"")</f>
        <v/>
      </c>
      <c r="F66" s="8"/>
      <c r="G66" s="8"/>
      <c r="H66" s="9" t="str">
        <f t="shared" si="0"/>
        <v/>
      </c>
      <c r="I66" s="9" t="str">
        <f t="shared" si="1"/>
        <v/>
      </c>
      <c r="J66" s="12" t="str">
        <f>IF(ISNUMBER(Output!F65),Output!F65,"")</f>
        <v/>
      </c>
      <c r="K66" s="12" t="str">
        <f>IF(ISNUMBER(Output!G65),Output!G65,"")</f>
        <v/>
      </c>
    </row>
    <row r="67" spans="1:11" ht="18" customHeight="1" x14ac:dyDescent="0.25">
      <c r="A67" s="9" t="str">
        <f>IF(ISBLANK(Output!A66),"",Output!A66)</f>
        <v/>
      </c>
      <c r="B67" s="9" t="str">
        <f>IF(ISBLANK(Output!B66),"",Output!B66)</f>
        <v/>
      </c>
      <c r="C67" s="9" t="str">
        <f>IF(ISNUMBER(Output!C66),IF(Output!C66&gt;=12,IFERROR(ROUND(INT(Output!C66)/12,0)&amp;"'-"&amp;INT(ROUND((Output!C66/12-INT(Output!C66/12))*12,2))&amp;" "&amp;IF(MROUND(ROUND((Output!C66/12-INT(Output!C66/12))*12,3)-INT(ROUND((Output!C66/12-INT(Output!C66/12))*12,3)),1/8)=0,"",VLOOKUP(MROUND((Output!C66/12-INT(Output!C66/12))*12-INT((Output!C66/12-INT(Output!C66/12))*12),1/8),fract[],2,FALSE))&amp;"''",""),IFERROR(INT(Output!C66)&amp;" "&amp;IF(MROUND((Output!C66-INT(Output!C66)),1/8)=0,"",VLOOKUP(MROUND((Output!C66-INT(Output!C66)),1/8),fract[],2,FALSE))&amp;"''","")),"")</f>
        <v/>
      </c>
      <c r="D67" s="9" t="str">
        <f>IF(ISNUMBER(Output!D66),IFERROR(ROUND(INT(Output!D66/12),3)&amp;"'-"&amp;INT(ROUND((Output!D66/12-INT(Output!D66/12))*12,3))&amp;" "&amp;IF(MROUND(ROUND((Output!D66/12-INT(Output!D66/12))*12,3)-INT(ROUND((Output!D66/12-INT(Output!D66/12))*12,3)),1/8)=0,"",VLOOKUP(MROUND((Output!D66/12-INT(Output!D66/12))*12-INT((Output!D66/12-INT(Output!D66/12))*12),1/8),fract[],2,FALSE))&amp;"''",""),"")</f>
        <v/>
      </c>
      <c r="E67" s="9" t="str">
        <f>IF(ISNUMBER(Output!E66),IF(Output!E66&gt;=12,IFERROR(ROUND(INT(Output!E66)/12,0)&amp;"'-"&amp;INT(ROUND((Output!E66/12-INT(Output!E66/12))*12,2))&amp;" "&amp;IF(MROUND(ROUND((Output!E66/12-INT(Output!E66/12))*12,3)-INT(ROUND((Output!E66/12-INT(Output!E66/12))*12,3)),1/8)=0,"",VLOOKUP(MROUND((Output!E66/12-INT(Output!E66/12))*12-INT((Output!E66/12-INT(Output!E66/12))*12),1/8),fract[],2,FALSE))&amp;"''",""),IFERROR(INT(Output!E66)&amp;" "&amp;IF(MROUND((Output!E66-INT(Output!E66)),1/8)=0,"",VLOOKUP(MROUND((Output!E66-INT(Output!E66)),1/8),fract[],2,FALSE))&amp;"''","")),"")</f>
        <v/>
      </c>
      <c r="F67" s="8"/>
      <c r="G67" s="8"/>
      <c r="H67" s="9" t="str">
        <f t="shared" si="0"/>
        <v/>
      </c>
      <c r="I67" s="9" t="str">
        <f t="shared" si="1"/>
        <v/>
      </c>
      <c r="J67" s="12" t="str">
        <f>IF(ISNUMBER(Output!F66),Output!F66,"")</f>
        <v/>
      </c>
      <c r="K67" s="12" t="str">
        <f>IF(ISNUMBER(Output!G66),Output!G66,"")</f>
        <v/>
      </c>
    </row>
    <row r="68" spans="1:11" ht="18" customHeight="1" x14ac:dyDescent="0.25">
      <c r="A68" s="9" t="str">
        <f>IF(ISBLANK(Output!A67),"",Output!A67)</f>
        <v/>
      </c>
      <c r="B68" s="9" t="str">
        <f>IF(ISBLANK(Output!B67),"",Output!B67)</f>
        <v/>
      </c>
      <c r="C68" s="9" t="str">
        <f>IF(ISNUMBER(Output!C67),IF(Output!C67&gt;=12,IFERROR(ROUND(INT(Output!C67)/12,0)&amp;"'-"&amp;INT(ROUND((Output!C67/12-INT(Output!C67/12))*12,2))&amp;" "&amp;IF(MROUND(ROUND((Output!C67/12-INT(Output!C67/12))*12,3)-INT(ROUND((Output!C67/12-INT(Output!C67/12))*12,3)),1/8)=0,"",VLOOKUP(MROUND((Output!C67/12-INT(Output!C67/12))*12-INT((Output!C67/12-INT(Output!C67/12))*12),1/8),fract[],2,FALSE))&amp;"''",""),IFERROR(INT(Output!C67)&amp;" "&amp;IF(MROUND((Output!C67-INT(Output!C67)),1/8)=0,"",VLOOKUP(MROUND((Output!C67-INT(Output!C67)),1/8),fract[],2,FALSE))&amp;"''","")),"")</f>
        <v/>
      </c>
      <c r="D68" s="9" t="str">
        <f>IF(ISNUMBER(Output!D67),IFERROR(ROUND(INT(Output!D67/12),3)&amp;"'-"&amp;INT(ROUND((Output!D67/12-INT(Output!D67/12))*12,3))&amp;" "&amp;IF(MROUND(ROUND((Output!D67/12-INT(Output!D67/12))*12,3)-INT(ROUND((Output!D67/12-INT(Output!D67/12))*12,3)),1/8)=0,"",VLOOKUP(MROUND((Output!D67/12-INT(Output!D67/12))*12-INT((Output!D67/12-INT(Output!D67/12))*12),1/8),fract[],2,FALSE))&amp;"''",""),"")</f>
        <v/>
      </c>
      <c r="E68" s="9" t="str">
        <f>IF(ISNUMBER(Output!E67),IF(Output!E67&gt;=12,IFERROR(ROUND(INT(Output!E67)/12,0)&amp;"'-"&amp;INT(ROUND((Output!E67/12-INT(Output!E67/12))*12,2))&amp;" "&amp;IF(MROUND(ROUND((Output!E67/12-INT(Output!E67/12))*12,3)-INT(ROUND((Output!E67/12-INT(Output!E67/12))*12,3)),1/8)=0,"",VLOOKUP(MROUND((Output!E67/12-INT(Output!E67/12))*12-INT((Output!E67/12-INT(Output!E67/12))*12),1/8),fract[],2,FALSE))&amp;"''",""),IFERROR(INT(Output!E67)&amp;" "&amp;IF(MROUND((Output!E67-INT(Output!E67)),1/8)=0,"",VLOOKUP(MROUND((Output!E67-INT(Output!E67)),1/8),fract[],2,FALSE))&amp;"''","")),"")</f>
        <v/>
      </c>
      <c r="F68" s="8"/>
      <c r="G68" s="8"/>
      <c r="H68" s="9" t="str">
        <f t="shared" si="0"/>
        <v/>
      </c>
      <c r="I68" s="9" t="str">
        <f t="shared" si="1"/>
        <v/>
      </c>
      <c r="J68" s="12" t="str">
        <f>IF(ISNUMBER(Output!F67),Output!F67,"")</f>
        <v/>
      </c>
      <c r="K68" s="12" t="str">
        <f>IF(ISNUMBER(Output!G67),Output!G67,"")</f>
        <v/>
      </c>
    </row>
    <row r="69" spans="1:11" ht="18" customHeight="1" x14ac:dyDescent="0.25">
      <c r="A69" s="9" t="str">
        <f>IF(ISBLANK(Output!A68),"",Output!A68)</f>
        <v/>
      </c>
      <c r="B69" s="9" t="str">
        <f>IF(ISBLANK(Output!B68),"",Output!B68)</f>
        <v/>
      </c>
      <c r="C69" s="9" t="str">
        <f>IF(ISNUMBER(Output!C68),IF(Output!C68&gt;=12,IFERROR(ROUND(INT(Output!C68)/12,0)&amp;"'-"&amp;INT(ROUND((Output!C68/12-INT(Output!C68/12))*12,2))&amp;" "&amp;IF(MROUND(ROUND((Output!C68/12-INT(Output!C68/12))*12,3)-INT(ROUND((Output!C68/12-INT(Output!C68/12))*12,3)),1/8)=0,"",VLOOKUP(MROUND((Output!C68/12-INT(Output!C68/12))*12-INT((Output!C68/12-INT(Output!C68/12))*12),1/8),fract[],2,FALSE))&amp;"''",""),IFERROR(INT(Output!C68)&amp;" "&amp;IF(MROUND((Output!C68-INT(Output!C68)),1/8)=0,"",VLOOKUP(MROUND((Output!C68-INT(Output!C68)),1/8),fract[],2,FALSE))&amp;"''","")),"")</f>
        <v/>
      </c>
      <c r="D69" s="9" t="str">
        <f>IF(ISNUMBER(Output!D68),IFERROR(ROUND(INT(Output!D68/12),3)&amp;"'-"&amp;INT(ROUND((Output!D68/12-INT(Output!D68/12))*12,3))&amp;" "&amp;IF(MROUND(ROUND((Output!D68/12-INT(Output!D68/12))*12,3)-INT(ROUND((Output!D68/12-INT(Output!D68/12))*12,3)),1/8)=0,"",VLOOKUP(MROUND((Output!D68/12-INT(Output!D68/12))*12-INT((Output!D68/12-INT(Output!D68/12))*12),1/8),fract[],2,FALSE))&amp;"''",""),"")</f>
        <v/>
      </c>
      <c r="E69" s="9" t="str">
        <f>IF(ISNUMBER(Output!E68),IF(Output!E68&gt;=12,IFERROR(ROUND(INT(Output!E68)/12,0)&amp;"'-"&amp;INT(ROUND((Output!E68/12-INT(Output!E68/12))*12,2))&amp;" "&amp;IF(MROUND(ROUND((Output!E68/12-INT(Output!E68/12))*12,3)-INT(ROUND((Output!E68/12-INT(Output!E68/12))*12,3)),1/8)=0,"",VLOOKUP(MROUND((Output!E68/12-INT(Output!E68/12))*12-INT((Output!E68/12-INT(Output!E68/12))*12),1/8),fract[],2,FALSE))&amp;"''",""),IFERROR(INT(Output!E68)&amp;" "&amp;IF(MROUND((Output!E68-INT(Output!E68)),1/8)=0,"",VLOOKUP(MROUND((Output!E68-INT(Output!E68)),1/8),fract[],2,FALSE))&amp;"''","")),"")</f>
        <v/>
      </c>
      <c r="F69" s="8"/>
      <c r="G69" s="8"/>
      <c r="H69" s="9" t="str">
        <f t="shared" ref="H69:H132" si="2">A69</f>
        <v/>
      </c>
      <c r="I69" s="9" t="str">
        <f t="shared" ref="I69:I132" si="3">B69</f>
        <v/>
      </c>
      <c r="J69" s="12" t="str">
        <f>IF(ISNUMBER(Output!F68),Output!F68,"")</f>
        <v/>
      </c>
      <c r="K69" s="12" t="str">
        <f>IF(ISNUMBER(Output!G68),Output!G68,"")</f>
        <v/>
      </c>
    </row>
    <row r="70" spans="1:11" ht="18" customHeight="1" x14ac:dyDescent="0.25">
      <c r="A70" s="9" t="str">
        <f>IF(ISBLANK(Output!A69),"",Output!A69)</f>
        <v/>
      </c>
      <c r="B70" s="9" t="str">
        <f>IF(ISBLANK(Output!B69),"",Output!B69)</f>
        <v/>
      </c>
      <c r="C70" s="9" t="str">
        <f>IF(ISNUMBER(Output!C69),IF(Output!C69&gt;=12,IFERROR(ROUND(INT(Output!C69)/12,0)&amp;"'-"&amp;INT(ROUND((Output!C69/12-INT(Output!C69/12))*12,2))&amp;" "&amp;IF(MROUND(ROUND((Output!C69/12-INT(Output!C69/12))*12,3)-INT(ROUND((Output!C69/12-INT(Output!C69/12))*12,3)),1/8)=0,"",VLOOKUP(MROUND((Output!C69/12-INT(Output!C69/12))*12-INT((Output!C69/12-INT(Output!C69/12))*12),1/8),fract[],2,FALSE))&amp;"''",""),IFERROR(INT(Output!C69)&amp;" "&amp;IF(MROUND((Output!C69-INT(Output!C69)),1/8)=0,"",VLOOKUP(MROUND((Output!C69-INT(Output!C69)),1/8),fract[],2,FALSE))&amp;"''","")),"")</f>
        <v/>
      </c>
      <c r="D70" s="9" t="str">
        <f>IF(ISNUMBER(Output!D69),IFERROR(ROUND(INT(Output!D69/12),3)&amp;"'-"&amp;INT(ROUND((Output!D69/12-INT(Output!D69/12))*12,3))&amp;" "&amp;IF(MROUND(ROUND((Output!D69/12-INT(Output!D69/12))*12,3)-INT(ROUND((Output!D69/12-INT(Output!D69/12))*12,3)),1/8)=0,"",VLOOKUP(MROUND((Output!D69/12-INT(Output!D69/12))*12-INT((Output!D69/12-INT(Output!D69/12))*12),1/8),fract[],2,FALSE))&amp;"''",""),"")</f>
        <v/>
      </c>
      <c r="E70" s="9" t="str">
        <f>IF(ISNUMBER(Output!E69),IF(Output!E69&gt;=12,IFERROR(ROUND(INT(Output!E69)/12,0)&amp;"'-"&amp;INT(ROUND((Output!E69/12-INT(Output!E69/12))*12,2))&amp;" "&amp;IF(MROUND(ROUND((Output!E69/12-INT(Output!E69/12))*12,3)-INT(ROUND((Output!E69/12-INT(Output!E69/12))*12,3)),1/8)=0,"",VLOOKUP(MROUND((Output!E69/12-INT(Output!E69/12))*12-INT((Output!E69/12-INT(Output!E69/12))*12),1/8),fract[],2,FALSE))&amp;"''",""),IFERROR(INT(Output!E69)&amp;" "&amp;IF(MROUND((Output!E69-INT(Output!E69)),1/8)=0,"",VLOOKUP(MROUND((Output!E69-INT(Output!E69)),1/8),fract[],2,FALSE))&amp;"''","")),"")</f>
        <v/>
      </c>
      <c r="F70" s="8"/>
      <c r="G70" s="8"/>
      <c r="H70" s="9" t="str">
        <f t="shared" si="2"/>
        <v/>
      </c>
      <c r="I70" s="9" t="str">
        <f t="shared" si="3"/>
        <v/>
      </c>
      <c r="J70" s="12" t="str">
        <f>IF(ISNUMBER(Output!F69),Output!F69,"")</f>
        <v/>
      </c>
      <c r="K70" s="12" t="str">
        <f>IF(ISNUMBER(Output!G69),Output!G69,"")</f>
        <v/>
      </c>
    </row>
    <row r="71" spans="1:11" ht="18" customHeight="1" x14ac:dyDescent="0.25">
      <c r="A71" s="9" t="str">
        <f>IF(ISBLANK(Output!A70),"",Output!A70)</f>
        <v/>
      </c>
      <c r="B71" s="9" t="str">
        <f>IF(ISBLANK(Output!B70),"",Output!B70)</f>
        <v/>
      </c>
      <c r="C71" s="9" t="str">
        <f>IF(ISNUMBER(Output!C70),IF(Output!C70&gt;=12,IFERROR(ROUND(INT(Output!C70)/12,0)&amp;"'-"&amp;INT(ROUND((Output!C70/12-INT(Output!C70/12))*12,2))&amp;" "&amp;IF(MROUND(ROUND((Output!C70/12-INT(Output!C70/12))*12,3)-INT(ROUND((Output!C70/12-INT(Output!C70/12))*12,3)),1/8)=0,"",VLOOKUP(MROUND((Output!C70/12-INT(Output!C70/12))*12-INT((Output!C70/12-INT(Output!C70/12))*12),1/8),fract[],2,FALSE))&amp;"''",""),IFERROR(INT(Output!C70)&amp;" "&amp;IF(MROUND((Output!C70-INT(Output!C70)),1/8)=0,"",VLOOKUP(MROUND((Output!C70-INT(Output!C70)),1/8),fract[],2,FALSE))&amp;"''","")),"")</f>
        <v/>
      </c>
      <c r="D71" s="9" t="str">
        <f>IF(ISNUMBER(Output!D70),IFERROR(ROUND(INT(Output!D70/12),3)&amp;"'-"&amp;INT(ROUND((Output!D70/12-INT(Output!D70/12))*12,3))&amp;" "&amp;IF(MROUND(ROUND((Output!D70/12-INT(Output!D70/12))*12,3)-INT(ROUND((Output!D70/12-INT(Output!D70/12))*12,3)),1/8)=0,"",VLOOKUP(MROUND((Output!D70/12-INT(Output!D70/12))*12-INT((Output!D70/12-INT(Output!D70/12))*12),1/8),fract[],2,FALSE))&amp;"''",""),"")</f>
        <v/>
      </c>
      <c r="E71" s="9" t="str">
        <f>IF(ISNUMBER(Output!E70),IF(Output!E70&gt;=12,IFERROR(ROUND(INT(Output!E70)/12,0)&amp;"'-"&amp;INT(ROUND((Output!E70/12-INT(Output!E70/12))*12,2))&amp;" "&amp;IF(MROUND(ROUND((Output!E70/12-INT(Output!E70/12))*12,3)-INT(ROUND((Output!E70/12-INT(Output!E70/12))*12,3)),1/8)=0,"",VLOOKUP(MROUND((Output!E70/12-INT(Output!E70/12))*12-INT((Output!E70/12-INT(Output!E70/12))*12),1/8),fract[],2,FALSE))&amp;"''",""),IFERROR(INT(Output!E70)&amp;" "&amp;IF(MROUND((Output!E70-INT(Output!E70)),1/8)=0,"",VLOOKUP(MROUND((Output!E70-INT(Output!E70)),1/8),fract[],2,FALSE))&amp;"''","")),"")</f>
        <v/>
      </c>
      <c r="F71" s="8"/>
      <c r="G71" s="8"/>
      <c r="H71" s="9" t="str">
        <f t="shared" si="2"/>
        <v/>
      </c>
      <c r="I71" s="9" t="str">
        <f t="shared" si="3"/>
        <v/>
      </c>
      <c r="J71" s="12" t="str">
        <f>IF(ISNUMBER(Output!F70),Output!F70,"")</f>
        <v/>
      </c>
      <c r="K71" s="12" t="str">
        <f>IF(ISNUMBER(Output!G70),Output!G70,"")</f>
        <v/>
      </c>
    </row>
    <row r="72" spans="1:11" ht="18" customHeight="1" x14ac:dyDescent="0.25">
      <c r="A72" s="9" t="str">
        <f>IF(ISBLANK(Output!A71),"",Output!A71)</f>
        <v/>
      </c>
      <c r="B72" s="9" t="str">
        <f>IF(ISBLANK(Output!B71),"",Output!B71)</f>
        <v/>
      </c>
      <c r="C72" s="9" t="str">
        <f>IF(ISNUMBER(Output!C71),IF(Output!C71&gt;=12,IFERROR(ROUND(INT(Output!C71)/12,0)&amp;"'-"&amp;INT(ROUND((Output!C71/12-INT(Output!C71/12))*12,2))&amp;" "&amp;IF(MROUND(ROUND((Output!C71/12-INT(Output!C71/12))*12,3)-INT(ROUND((Output!C71/12-INT(Output!C71/12))*12,3)),1/8)=0,"",VLOOKUP(MROUND((Output!C71/12-INT(Output!C71/12))*12-INT((Output!C71/12-INT(Output!C71/12))*12),1/8),fract[],2,FALSE))&amp;"''",""),IFERROR(INT(Output!C71)&amp;" "&amp;IF(MROUND((Output!C71-INT(Output!C71)),1/8)=0,"",VLOOKUP(MROUND((Output!C71-INT(Output!C71)),1/8),fract[],2,FALSE))&amp;"''","")),"")</f>
        <v/>
      </c>
      <c r="D72" s="9" t="str">
        <f>IF(ISNUMBER(Output!D71),IFERROR(ROUND(INT(Output!D71/12),3)&amp;"'-"&amp;INT(ROUND((Output!D71/12-INT(Output!D71/12))*12,3))&amp;" "&amp;IF(MROUND(ROUND((Output!D71/12-INT(Output!D71/12))*12,3)-INT(ROUND((Output!D71/12-INT(Output!D71/12))*12,3)),1/8)=0,"",VLOOKUP(MROUND((Output!D71/12-INT(Output!D71/12))*12-INT((Output!D71/12-INT(Output!D71/12))*12),1/8),fract[],2,FALSE))&amp;"''",""),"")</f>
        <v/>
      </c>
      <c r="E72" s="9" t="str">
        <f>IF(ISNUMBER(Output!E71),IF(Output!E71&gt;=12,IFERROR(ROUND(INT(Output!E71)/12,0)&amp;"'-"&amp;INT(ROUND((Output!E71/12-INT(Output!E71/12))*12,2))&amp;" "&amp;IF(MROUND(ROUND((Output!E71/12-INT(Output!E71/12))*12,3)-INT(ROUND((Output!E71/12-INT(Output!E71/12))*12,3)),1/8)=0,"",VLOOKUP(MROUND((Output!E71/12-INT(Output!E71/12))*12-INT((Output!E71/12-INT(Output!E71/12))*12),1/8),fract[],2,FALSE))&amp;"''",""),IFERROR(INT(Output!E71)&amp;" "&amp;IF(MROUND((Output!E71-INT(Output!E71)),1/8)=0,"",VLOOKUP(MROUND((Output!E71-INT(Output!E71)),1/8),fract[],2,FALSE))&amp;"''","")),"")</f>
        <v/>
      </c>
      <c r="F72" s="8"/>
      <c r="G72" s="8"/>
      <c r="H72" s="9" t="str">
        <f t="shared" si="2"/>
        <v/>
      </c>
      <c r="I72" s="9" t="str">
        <f t="shared" si="3"/>
        <v/>
      </c>
      <c r="J72" s="12" t="str">
        <f>IF(ISNUMBER(Output!F71),Output!F71,"")</f>
        <v/>
      </c>
      <c r="K72" s="12" t="str">
        <f>IF(ISNUMBER(Output!G71),Output!G71,"")</f>
        <v/>
      </c>
    </row>
    <row r="73" spans="1:11" ht="18" customHeight="1" x14ac:dyDescent="0.25">
      <c r="A73" s="9" t="str">
        <f>IF(ISBLANK(Output!A72),"",Output!A72)</f>
        <v/>
      </c>
      <c r="B73" s="9" t="str">
        <f>IF(ISBLANK(Output!B72),"",Output!B72)</f>
        <v/>
      </c>
      <c r="C73" s="9" t="str">
        <f>IF(ISNUMBER(Output!C72),IF(Output!C72&gt;=12,IFERROR(ROUND(INT(Output!C72)/12,0)&amp;"'-"&amp;INT(ROUND((Output!C72/12-INT(Output!C72/12))*12,2))&amp;" "&amp;IF(MROUND(ROUND((Output!C72/12-INT(Output!C72/12))*12,3)-INT(ROUND((Output!C72/12-INT(Output!C72/12))*12,3)),1/8)=0,"",VLOOKUP(MROUND((Output!C72/12-INT(Output!C72/12))*12-INT((Output!C72/12-INT(Output!C72/12))*12),1/8),fract[],2,FALSE))&amp;"''",""),IFERROR(INT(Output!C72)&amp;" "&amp;IF(MROUND((Output!C72-INT(Output!C72)),1/8)=0,"",VLOOKUP(MROUND((Output!C72-INT(Output!C72)),1/8),fract[],2,FALSE))&amp;"''","")),"")</f>
        <v/>
      </c>
      <c r="D73" s="9" t="str">
        <f>IF(ISNUMBER(Output!D72),IFERROR(ROUND(INT(Output!D72/12),3)&amp;"'-"&amp;INT(ROUND((Output!D72/12-INT(Output!D72/12))*12,3))&amp;" "&amp;IF(MROUND(ROUND((Output!D72/12-INT(Output!D72/12))*12,3)-INT(ROUND((Output!D72/12-INT(Output!D72/12))*12,3)),1/8)=0,"",VLOOKUP(MROUND((Output!D72/12-INT(Output!D72/12))*12-INT((Output!D72/12-INT(Output!D72/12))*12),1/8),fract[],2,FALSE))&amp;"''",""),"")</f>
        <v/>
      </c>
      <c r="E73" s="9" t="str">
        <f>IF(ISNUMBER(Output!E72),IF(Output!E72&gt;=12,IFERROR(ROUND(INT(Output!E72)/12,0)&amp;"'-"&amp;INT(ROUND((Output!E72/12-INT(Output!E72/12))*12,2))&amp;" "&amp;IF(MROUND(ROUND((Output!E72/12-INT(Output!E72/12))*12,3)-INT(ROUND((Output!E72/12-INT(Output!E72/12))*12,3)),1/8)=0,"",VLOOKUP(MROUND((Output!E72/12-INT(Output!E72/12))*12-INT((Output!E72/12-INT(Output!E72/12))*12),1/8),fract[],2,FALSE))&amp;"''",""),IFERROR(INT(Output!E72)&amp;" "&amp;IF(MROUND((Output!E72-INT(Output!E72)),1/8)=0,"",VLOOKUP(MROUND((Output!E72-INT(Output!E72)),1/8),fract[],2,FALSE))&amp;"''","")),"")</f>
        <v/>
      </c>
      <c r="F73" s="8"/>
      <c r="G73" s="8"/>
      <c r="H73" s="9" t="str">
        <f t="shared" si="2"/>
        <v/>
      </c>
      <c r="I73" s="9" t="str">
        <f t="shared" si="3"/>
        <v/>
      </c>
      <c r="J73" s="12" t="str">
        <f>IF(ISNUMBER(Output!F72),Output!F72,"")</f>
        <v/>
      </c>
      <c r="K73" s="12" t="str">
        <f>IF(ISNUMBER(Output!G72),Output!G72,"")</f>
        <v/>
      </c>
    </row>
    <row r="74" spans="1:11" ht="18" customHeight="1" x14ac:dyDescent="0.25">
      <c r="A74" s="9" t="str">
        <f>IF(ISBLANK(Output!A73),"",Output!A73)</f>
        <v/>
      </c>
      <c r="B74" s="9" t="str">
        <f>IF(ISBLANK(Output!B73),"",Output!B73)</f>
        <v/>
      </c>
      <c r="C74" s="9" t="str">
        <f>IF(ISNUMBER(Output!C73),IF(Output!C73&gt;=12,IFERROR(ROUND(INT(Output!C73)/12,0)&amp;"'-"&amp;INT(ROUND((Output!C73/12-INT(Output!C73/12))*12,2))&amp;" "&amp;IF(MROUND(ROUND((Output!C73/12-INT(Output!C73/12))*12,3)-INT(ROUND((Output!C73/12-INT(Output!C73/12))*12,3)),1/8)=0,"",VLOOKUP(MROUND((Output!C73/12-INT(Output!C73/12))*12-INT((Output!C73/12-INT(Output!C73/12))*12),1/8),fract[],2,FALSE))&amp;"''",""),IFERROR(INT(Output!C73)&amp;" "&amp;IF(MROUND((Output!C73-INT(Output!C73)),1/8)=0,"",VLOOKUP(MROUND((Output!C73-INT(Output!C73)),1/8),fract[],2,FALSE))&amp;"''","")),"")</f>
        <v/>
      </c>
      <c r="D74" s="9" t="str">
        <f>IF(ISNUMBER(Output!D73),IFERROR(ROUND(INT(Output!D73/12),3)&amp;"'-"&amp;INT(ROUND((Output!D73/12-INT(Output!D73/12))*12,3))&amp;" "&amp;IF(MROUND(ROUND((Output!D73/12-INT(Output!D73/12))*12,3)-INT(ROUND((Output!D73/12-INT(Output!D73/12))*12,3)),1/8)=0,"",VLOOKUP(MROUND((Output!D73/12-INT(Output!D73/12))*12-INT((Output!D73/12-INT(Output!D73/12))*12),1/8),fract[],2,FALSE))&amp;"''",""),"")</f>
        <v/>
      </c>
      <c r="E74" s="9" t="str">
        <f>IF(ISNUMBER(Output!E73),IF(Output!E73&gt;=12,IFERROR(ROUND(INT(Output!E73)/12,0)&amp;"'-"&amp;INT(ROUND((Output!E73/12-INT(Output!E73/12))*12,2))&amp;" "&amp;IF(MROUND(ROUND((Output!E73/12-INT(Output!E73/12))*12,3)-INT(ROUND((Output!E73/12-INT(Output!E73/12))*12,3)),1/8)=0,"",VLOOKUP(MROUND((Output!E73/12-INT(Output!E73/12))*12-INT((Output!E73/12-INT(Output!E73/12))*12),1/8),fract[],2,FALSE))&amp;"''",""),IFERROR(INT(Output!E73)&amp;" "&amp;IF(MROUND((Output!E73-INT(Output!E73)),1/8)=0,"",VLOOKUP(MROUND((Output!E73-INT(Output!E73)),1/8),fract[],2,FALSE))&amp;"''","")),"")</f>
        <v/>
      </c>
      <c r="F74" s="8"/>
      <c r="G74" s="8"/>
      <c r="H74" s="9" t="str">
        <f t="shared" si="2"/>
        <v/>
      </c>
      <c r="I74" s="9" t="str">
        <f t="shared" si="3"/>
        <v/>
      </c>
      <c r="J74" s="12" t="str">
        <f>IF(ISNUMBER(Output!F73),Output!F73,"")</f>
        <v/>
      </c>
      <c r="K74" s="12" t="str">
        <f>IF(ISNUMBER(Output!G73),Output!G73,"")</f>
        <v/>
      </c>
    </row>
    <row r="75" spans="1:11" ht="18" customHeight="1" x14ac:dyDescent="0.25">
      <c r="A75" s="9" t="str">
        <f>IF(ISBLANK(Output!A74),"",Output!A74)</f>
        <v/>
      </c>
      <c r="B75" s="9" t="str">
        <f>IF(ISBLANK(Output!B74),"",Output!B74)</f>
        <v/>
      </c>
      <c r="C75" s="9" t="str">
        <f>IF(ISNUMBER(Output!C74),IF(Output!C74&gt;=12,IFERROR(ROUND(INT(Output!C74)/12,0)&amp;"'-"&amp;INT(ROUND((Output!C74/12-INT(Output!C74/12))*12,2))&amp;" "&amp;IF(MROUND(ROUND((Output!C74/12-INT(Output!C74/12))*12,3)-INT(ROUND((Output!C74/12-INT(Output!C74/12))*12,3)),1/8)=0,"",VLOOKUP(MROUND((Output!C74/12-INT(Output!C74/12))*12-INT((Output!C74/12-INT(Output!C74/12))*12),1/8),fract[],2,FALSE))&amp;"''",""),IFERROR(INT(Output!C74)&amp;" "&amp;IF(MROUND((Output!C74-INT(Output!C74)),1/8)=0,"",VLOOKUP(MROUND((Output!C74-INT(Output!C74)),1/8),fract[],2,FALSE))&amp;"''","")),"")</f>
        <v/>
      </c>
      <c r="D75" s="9" t="str">
        <f>IF(ISNUMBER(Output!D74),IFERROR(ROUND(INT(Output!D74/12),3)&amp;"'-"&amp;INT(ROUND((Output!D74/12-INT(Output!D74/12))*12,3))&amp;" "&amp;IF(MROUND(ROUND((Output!D74/12-INT(Output!D74/12))*12,3)-INT(ROUND((Output!D74/12-INT(Output!D74/12))*12,3)),1/8)=0,"",VLOOKUP(MROUND((Output!D74/12-INT(Output!D74/12))*12-INT((Output!D74/12-INT(Output!D74/12))*12),1/8),fract[],2,FALSE))&amp;"''",""),"")</f>
        <v/>
      </c>
      <c r="E75" s="9" t="str">
        <f>IF(ISNUMBER(Output!E74),IF(Output!E74&gt;=12,IFERROR(ROUND(INT(Output!E74)/12,0)&amp;"'-"&amp;INT(ROUND((Output!E74/12-INT(Output!E74/12))*12,2))&amp;" "&amp;IF(MROUND(ROUND((Output!E74/12-INT(Output!E74/12))*12,3)-INT(ROUND((Output!E74/12-INT(Output!E74/12))*12,3)),1/8)=0,"",VLOOKUP(MROUND((Output!E74/12-INT(Output!E74/12))*12-INT((Output!E74/12-INT(Output!E74/12))*12),1/8),fract[],2,FALSE))&amp;"''",""),IFERROR(INT(Output!E74)&amp;" "&amp;IF(MROUND((Output!E74-INT(Output!E74)),1/8)=0,"",VLOOKUP(MROUND((Output!E74-INT(Output!E74)),1/8),fract[],2,FALSE))&amp;"''","")),"")</f>
        <v/>
      </c>
      <c r="F75" s="8"/>
      <c r="G75" s="8"/>
      <c r="H75" s="9" t="str">
        <f t="shared" si="2"/>
        <v/>
      </c>
      <c r="I75" s="9" t="str">
        <f t="shared" si="3"/>
        <v/>
      </c>
      <c r="J75" s="12" t="str">
        <f>IF(ISNUMBER(Output!F74),Output!F74,"")</f>
        <v/>
      </c>
      <c r="K75" s="12" t="str">
        <f>IF(ISNUMBER(Output!G74),Output!G74,"")</f>
        <v/>
      </c>
    </row>
    <row r="76" spans="1:11" ht="18" customHeight="1" x14ac:dyDescent="0.25">
      <c r="A76" s="9" t="str">
        <f>IF(ISBLANK(Output!A75),"",Output!A75)</f>
        <v/>
      </c>
      <c r="B76" s="9" t="str">
        <f>IF(ISBLANK(Output!B75),"",Output!B75)</f>
        <v/>
      </c>
      <c r="C76" s="9" t="str">
        <f>IF(ISNUMBER(Output!C75),IF(Output!C75&gt;=12,IFERROR(ROUND(INT(Output!C75)/12,0)&amp;"'-"&amp;INT(ROUND((Output!C75/12-INT(Output!C75/12))*12,2))&amp;" "&amp;IF(MROUND(ROUND((Output!C75/12-INT(Output!C75/12))*12,3)-INT(ROUND((Output!C75/12-INT(Output!C75/12))*12,3)),1/8)=0,"",VLOOKUP(MROUND((Output!C75/12-INT(Output!C75/12))*12-INT((Output!C75/12-INT(Output!C75/12))*12),1/8),fract[],2,FALSE))&amp;"''",""),IFERROR(INT(Output!C75)&amp;" "&amp;IF(MROUND((Output!C75-INT(Output!C75)),1/8)=0,"",VLOOKUP(MROUND((Output!C75-INT(Output!C75)),1/8),fract[],2,FALSE))&amp;"''","")),"")</f>
        <v/>
      </c>
      <c r="D76" s="9" t="str">
        <f>IF(ISNUMBER(Output!D75),IFERROR(ROUND(INT(Output!D75/12),3)&amp;"'-"&amp;INT(ROUND((Output!D75/12-INT(Output!D75/12))*12,3))&amp;" "&amp;IF(MROUND(ROUND((Output!D75/12-INT(Output!D75/12))*12,3)-INT(ROUND((Output!D75/12-INT(Output!D75/12))*12,3)),1/8)=0,"",VLOOKUP(MROUND((Output!D75/12-INT(Output!D75/12))*12-INT((Output!D75/12-INT(Output!D75/12))*12),1/8),fract[],2,FALSE))&amp;"''",""),"")</f>
        <v/>
      </c>
      <c r="E76" s="9" t="str">
        <f>IF(ISNUMBER(Output!E75),IF(Output!E75&gt;=12,IFERROR(ROUND(INT(Output!E75)/12,0)&amp;"'-"&amp;INT(ROUND((Output!E75/12-INT(Output!E75/12))*12,2))&amp;" "&amp;IF(MROUND(ROUND((Output!E75/12-INT(Output!E75/12))*12,3)-INT(ROUND((Output!E75/12-INT(Output!E75/12))*12,3)),1/8)=0,"",VLOOKUP(MROUND((Output!E75/12-INT(Output!E75/12))*12-INT((Output!E75/12-INT(Output!E75/12))*12),1/8),fract[],2,FALSE))&amp;"''",""),IFERROR(INT(Output!E75)&amp;" "&amp;IF(MROUND((Output!E75-INT(Output!E75)),1/8)=0,"",VLOOKUP(MROUND((Output!E75-INT(Output!E75)),1/8),fract[],2,FALSE))&amp;"''","")),"")</f>
        <v/>
      </c>
      <c r="F76" s="8"/>
      <c r="G76" s="8"/>
      <c r="H76" s="9" t="str">
        <f t="shared" si="2"/>
        <v/>
      </c>
      <c r="I76" s="9" t="str">
        <f t="shared" si="3"/>
        <v/>
      </c>
      <c r="J76" s="12" t="str">
        <f>IF(ISNUMBER(Output!F75),Output!F75,"")</f>
        <v/>
      </c>
      <c r="K76" s="12" t="str">
        <f>IF(ISNUMBER(Output!G75),Output!G75,"")</f>
        <v/>
      </c>
    </row>
    <row r="77" spans="1:11" ht="18" customHeight="1" x14ac:dyDescent="0.25">
      <c r="A77" s="9" t="str">
        <f>IF(ISBLANK(Output!A76),"",Output!A76)</f>
        <v/>
      </c>
      <c r="B77" s="9" t="str">
        <f>IF(ISBLANK(Output!B76),"",Output!B76)</f>
        <v/>
      </c>
      <c r="C77" s="9" t="str">
        <f>IF(ISNUMBER(Output!C76),IF(Output!C76&gt;=12,IFERROR(ROUND(INT(Output!C76)/12,0)&amp;"'-"&amp;INT(ROUND((Output!C76/12-INT(Output!C76/12))*12,2))&amp;" "&amp;IF(MROUND(ROUND((Output!C76/12-INT(Output!C76/12))*12,3)-INT(ROUND((Output!C76/12-INT(Output!C76/12))*12,3)),1/8)=0,"",VLOOKUP(MROUND((Output!C76/12-INT(Output!C76/12))*12-INT((Output!C76/12-INT(Output!C76/12))*12),1/8),fract[],2,FALSE))&amp;"''",""),IFERROR(INT(Output!C76)&amp;" "&amp;IF(MROUND((Output!C76-INT(Output!C76)),1/8)=0,"",VLOOKUP(MROUND((Output!C76-INT(Output!C76)),1/8),fract[],2,FALSE))&amp;"''","")),"")</f>
        <v/>
      </c>
      <c r="D77" s="9" t="str">
        <f>IF(ISNUMBER(Output!D76),IFERROR(ROUND(INT(Output!D76/12),3)&amp;"'-"&amp;INT(ROUND((Output!D76/12-INT(Output!D76/12))*12,3))&amp;" "&amp;IF(MROUND(ROUND((Output!D76/12-INT(Output!D76/12))*12,3)-INT(ROUND((Output!D76/12-INT(Output!D76/12))*12,3)),1/8)=0,"",VLOOKUP(MROUND((Output!D76/12-INT(Output!D76/12))*12-INT((Output!D76/12-INT(Output!D76/12))*12),1/8),fract[],2,FALSE))&amp;"''",""),"")</f>
        <v/>
      </c>
      <c r="E77" s="9" t="str">
        <f>IF(ISNUMBER(Output!E76),IF(Output!E76&gt;=12,IFERROR(ROUND(INT(Output!E76)/12,0)&amp;"'-"&amp;INT(ROUND((Output!E76/12-INT(Output!E76/12))*12,2))&amp;" "&amp;IF(MROUND(ROUND((Output!E76/12-INT(Output!E76/12))*12,3)-INT(ROUND((Output!E76/12-INT(Output!E76/12))*12,3)),1/8)=0,"",VLOOKUP(MROUND((Output!E76/12-INT(Output!E76/12))*12-INT((Output!E76/12-INT(Output!E76/12))*12),1/8),fract[],2,FALSE))&amp;"''",""),IFERROR(INT(Output!E76)&amp;" "&amp;IF(MROUND((Output!E76-INT(Output!E76)),1/8)=0,"",VLOOKUP(MROUND((Output!E76-INT(Output!E76)),1/8),fract[],2,FALSE))&amp;"''","")),"")</f>
        <v/>
      </c>
      <c r="F77" s="8"/>
      <c r="G77" s="8"/>
      <c r="H77" s="9" t="str">
        <f t="shared" si="2"/>
        <v/>
      </c>
      <c r="I77" s="9" t="str">
        <f t="shared" si="3"/>
        <v/>
      </c>
      <c r="J77" s="12" t="str">
        <f>IF(ISNUMBER(Output!F76),Output!F76,"")</f>
        <v/>
      </c>
      <c r="K77" s="12" t="str">
        <f>IF(ISNUMBER(Output!G76),Output!G76,"")</f>
        <v/>
      </c>
    </row>
    <row r="78" spans="1:11" ht="18" customHeight="1" x14ac:dyDescent="0.25">
      <c r="A78" s="9" t="str">
        <f>IF(ISBLANK(Output!A77),"",Output!A77)</f>
        <v/>
      </c>
      <c r="B78" s="9" t="str">
        <f>IF(ISBLANK(Output!B77),"",Output!B77)</f>
        <v/>
      </c>
      <c r="C78" s="9" t="str">
        <f>IF(ISNUMBER(Output!C77),IF(Output!C77&gt;=12,IFERROR(ROUND(INT(Output!C77)/12,0)&amp;"'-"&amp;INT(ROUND((Output!C77/12-INT(Output!C77/12))*12,2))&amp;" "&amp;IF(MROUND(ROUND((Output!C77/12-INT(Output!C77/12))*12,3)-INT(ROUND((Output!C77/12-INT(Output!C77/12))*12,3)),1/8)=0,"",VLOOKUP(MROUND((Output!C77/12-INT(Output!C77/12))*12-INT((Output!C77/12-INT(Output!C77/12))*12),1/8),fract[],2,FALSE))&amp;"''",""),IFERROR(INT(Output!C77)&amp;" "&amp;IF(MROUND((Output!C77-INT(Output!C77)),1/8)=0,"",VLOOKUP(MROUND((Output!C77-INT(Output!C77)),1/8),fract[],2,FALSE))&amp;"''","")),"")</f>
        <v/>
      </c>
      <c r="D78" s="9" t="str">
        <f>IF(ISNUMBER(Output!D77),IFERROR(ROUND(INT(Output!D77/12),3)&amp;"'-"&amp;INT(ROUND((Output!D77/12-INT(Output!D77/12))*12,3))&amp;" "&amp;IF(MROUND(ROUND((Output!D77/12-INT(Output!D77/12))*12,3)-INT(ROUND((Output!D77/12-INT(Output!D77/12))*12,3)),1/8)=0,"",VLOOKUP(MROUND((Output!D77/12-INT(Output!D77/12))*12-INT((Output!D77/12-INT(Output!D77/12))*12),1/8),fract[],2,FALSE))&amp;"''",""),"")</f>
        <v/>
      </c>
      <c r="E78" s="9" t="str">
        <f>IF(ISNUMBER(Output!E77),IF(Output!E77&gt;=12,IFERROR(ROUND(INT(Output!E77)/12,0)&amp;"'-"&amp;INT(ROUND((Output!E77/12-INT(Output!E77/12))*12,2))&amp;" "&amp;IF(MROUND(ROUND((Output!E77/12-INT(Output!E77/12))*12,3)-INT(ROUND((Output!E77/12-INT(Output!E77/12))*12,3)),1/8)=0,"",VLOOKUP(MROUND((Output!E77/12-INT(Output!E77/12))*12-INT((Output!E77/12-INT(Output!E77/12))*12),1/8),fract[],2,FALSE))&amp;"''",""),IFERROR(INT(Output!E77)&amp;" "&amp;IF(MROUND((Output!E77-INT(Output!E77)),1/8)=0,"",VLOOKUP(MROUND((Output!E77-INT(Output!E77)),1/8),fract[],2,FALSE))&amp;"''","")),"")</f>
        <v/>
      </c>
      <c r="F78" s="8"/>
      <c r="G78" s="8"/>
      <c r="H78" s="9" t="str">
        <f t="shared" si="2"/>
        <v/>
      </c>
      <c r="I78" s="9" t="str">
        <f t="shared" si="3"/>
        <v/>
      </c>
      <c r="J78" s="12" t="str">
        <f>IF(ISNUMBER(Output!F77),Output!F77,"")</f>
        <v/>
      </c>
      <c r="K78" s="12" t="str">
        <f>IF(ISNUMBER(Output!G77),Output!G77,"")</f>
        <v/>
      </c>
    </row>
    <row r="79" spans="1:11" ht="18" customHeight="1" x14ac:dyDescent="0.25">
      <c r="A79" s="9" t="str">
        <f>IF(ISBLANK(Output!A78),"",Output!A78)</f>
        <v/>
      </c>
      <c r="B79" s="9" t="str">
        <f>IF(ISBLANK(Output!B78),"",Output!B78)</f>
        <v/>
      </c>
      <c r="C79" s="9" t="str">
        <f>IF(ISNUMBER(Output!C78),IF(Output!C78&gt;=12,IFERROR(ROUND(INT(Output!C78)/12,0)&amp;"'-"&amp;INT(ROUND((Output!C78/12-INT(Output!C78/12))*12,2))&amp;" "&amp;IF(MROUND(ROUND((Output!C78/12-INT(Output!C78/12))*12,3)-INT(ROUND((Output!C78/12-INT(Output!C78/12))*12,3)),1/8)=0,"",VLOOKUP(MROUND((Output!C78/12-INT(Output!C78/12))*12-INT((Output!C78/12-INT(Output!C78/12))*12),1/8),fract[],2,FALSE))&amp;"''",""),IFERROR(INT(Output!C78)&amp;" "&amp;IF(MROUND((Output!C78-INT(Output!C78)),1/8)=0,"",VLOOKUP(MROUND((Output!C78-INT(Output!C78)),1/8),fract[],2,FALSE))&amp;"''","")),"")</f>
        <v/>
      </c>
      <c r="D79" s="9" t="str">
        <f>IF(ISNUMBER(Output!D78),IFERROR(ROUND(INT(Output!D78/12),3)&amp;"'-"&amp;INT(ROUND((Output!D78/12-INT(Output!D78/12))*12,3))&amp;" "&amp;IF(MROUND(ROUND((Output!D78/12-INT(Output!D78/12))*12,3)-INT(ROUND((Output!D78/12-INT(Output!D78/12))*12,3)),1/8)=0,"",VLOOKUP(MROUND((Output!D78/12-INT(Output!D78/12))*12-INT((Output!D78/12-INT(Output!D78/12))*12),1/8),fract[],2,FALSE))&amp;"''",""),"")</f>
        <v/>
      </c>
      <c r="E79" s="9" t="str">
        <f>IF(ISNUMBER(Output!E78),IF(Output!E78&gt;=12,IFERROR(ROUND(INT(Output!E78)/12,0)&amp;"'-"&amp;INT(ROUND((Output!E78/12-INT(Output!E78/12))*12,2))&amp;" "&amp;IF(MROUND(ROUND((Output!E78/12-INT(Output!E78/12))*12,3)-INT(ROUND((Output!E78/12-INT(Output!E78/12))*12,3)),1/8)=0,"",VLOOKUP(MROUND((Output!E78/12-INT(Output!E78/12))*12-INT((Output!E78/12-INT(Output!E78/12))*12),1/8),fract[],2,FALSE))&amp;"''",""),IFERROR(INT(Output!E78)&amp;" "&amp;IF(MROUND((Output!E78-INT(Output!E78)),1/8)=0,"",VLOOKUP(MROUND((Output!E78-INT(Output!E78)),1/8),fract[],2,FALSE))&amp;"''","")),"")</f>
        <v/>
      </c>
      <c r="F79" s="8"/>
      <c r="G79" s="8"/>
      <c r="H79" s="9" t="str">
        <f t="shared" si="2"/>
        <v/>
      </c>
      <c r="I79" s="9" t="str">
        <f t="shared" si="3"/>
        <v/>
      </c>
      <c r="J79" s="12" t="str">
        <f>IF(ISNUMBER(Output!F78),Output!F78,"")</f>
        <v/>
      </c>
      <c r="K79" s="12" t="str">
        <f>IF(ISNUMBER(Output!G78),Output!G78,"")</f>
        <v/>
      </c>
    </row>
    <row r="80" spans="1:11" ht="18" customHeight="1" x14ac:dyDescent="0.25">
      <c r="A80" s="9" t="str">
        <f>IF(ISBLANK(Output!A79),"",Output!A79)</f>
        <v/>
      </c>
      <c r="B80" s="9" t="str">
        <f>IF(ISBLANK(Output!B79),"",Output!B79)</f>
        <v/>
      </c>
      <c r="C80" s="9" t="str">
        <f>IF(ISNUMBER(Output!C79),IF(Output!C79&gt;=12,IFERROR(ROUND(INT(Output!C79)/12,0)&amp;"'-"&amp;INT(ROUND((Output!C79/12-INT(Output!C79/12))*12,2))&amp;" "&amp;IF(MROUND(ROUND((Output!C79/12-INT(Output!C79/12))*12,3)-INT(ROUND((Output!C79/12-INT(Output!C79/12))*12,3)),1/8)=0,"",VLOOKUP(MROUND((Output!C79/12-INT(Output!C79/12))*12-INT((Output!C79/12-INT(Output!C79/12))*12),1/8),fract[],2,FALSE))&amp;"''",""),IFERROR(INT(Output!C79)&amp;" "&amp;IF(MROUND((Output!C79-INT(Output!C79)),1/8)=0,"",VLOOKUP(MROUND((Output!C79-INT(Output!C79)),1/8),fract[],2,FALSE))&amp;"''","")),"")</f>
        <v/>
      </c>
      <c r="D80" s="9" t="str">
        <f>IF(ISNUMBER(Output!D79),IFERROR(ROUND(INT(Output!D79/12),3)&amp;"'-"&amp;INT(ROUND((Output!D79/12-INT(Output!D79/12))*12,3))&amp;" "&amp;IF(MROUND(ROUND((Output!D79/12-INT(Output!D79/12))*12,3)-INT(ROUND((Output!D79/12-INT(Output!D79/12))*12,3)),1/8)=0,"",VLOOKUP(MROUND((Output!D79/12-INT(Output!D79/12))*12-INT((Output!D79/12-INT(Output!D79/12))*12),1/8),fract[],2,FALSE))&amp;"''",""),"")</f>
        <v/>
      </c>
      <c r="E80" s="9" t="str">
        <f>IF(ISNUMBER(Output!E79),IF(Output!E79&gt;=12,IFERROR(ROUND(INT(Output!E79)/12,0)&amp;"'-"&amp;INT(ROUND((Output!E79/12-INT(Output!E79/12))*12,2))&amp;" "&amp;IF(MROUND(ROUND((Output!E79/12-INT(Output!E79/12))*12,3)-INT(ROUND((Output!E79/12-INT(Output!E79/12))*12,3)),1/8)=0,"",VLOOKUP(MROUND((Output!E79/12-INT(Output!E79/12))*12-INT((Output!E79/12-INT(Output!E79/12))*12),1/8),fract[],2,FALSE))&amp;"''",""),IFERROR(INT(Output!E79)&amp;" "&amp;IF(MROUND((Output!E79-INT(Output!E79)),1/8)=0,"",VLOOKUP(MROUND((Output!E79-INT(Output!E79)),1/8),fract[],2,FALSE))&amp;"''","")),"")</f>
        <v/>
      </c>
      <c r="F80" s="8"/>
      <c r="G80" s="8"/>
      <c r="H80" s="9" t="str">
        <f t="shared" si="2"/>
        <v/>
      </c>
      <c r="I80" s="9" t="str">
        <f t="shared" si="3"/>
        <v/>
      </c>
      <c r="J80" s="12" t="str">
        <f>IF(ISNUMBER(Output!F79),Output!F79,"")</f>
        <v/>
      </c>
      <c r="K80" s="12" t="str">
        <f>IF(ISNUMBER(Output!G79),Output!G79,"")</f>
        <v/>
      </c>
    </row>
    <row r="81" spans="1:11" ht="18" customHeight="1" x14ac:dyDescent="0.25">
      <c r="A81" s="9" t="str">
        <f>IF(ISBLANK(Output!A80),"",Output!A80)</f>
        <v/>
      </c>
      <c r="B81" s="9" t="str">
        <f>IF(ISBLANK(Output!B80),"",Output!B80)</f>
        <v/>
      </c>
      <c r="C81" s="9" t="str">
        <f>IF(ISNUMBER(Output!C80),IF(Output!C80&gt;=12,IFERROR(ROUND(INT(Output!C80)/12,0)&amp;"'-"&amp;INT(ROUND((Output!C80/12-INT(Output!C80/12))*12,2))&amp;" "&amp;IF(MROUND(ROUND((Output!C80/12-INT(Output!C80/12))*12,3)-INT(ROUND((Output!C80/12-INT(Output!C80/12))*12,3)),1/8)=0,"",VLOOKUP(MROUND((Output!C80/12-INT(Output!C80/12))*12-INT((Output!C80/12-INT(Output!C80/12))*12),1/8),fract[],2,FALSE))&amp;"''",""),IFERROR(INT(Output!C80)&amp;" "&amp;IF(MROUND((Output!C80-INT(Output!C80)),1/8)=0,"",VLOOKUP(MROUND((Output!C80-INT(Output!C80)),1/8),fract[],2,FALSE))&amp;"''","")),"")</f>
        <v/>
      </c>
      <c r="D81" s="9" t="str">
        <f>IF(ISNUMBER(Output!D80),IFERROR(ROUND(INT(Output!D80/12),3)&amp;"'-"&amp;INT(ROUND((Output!D80/12-INT(Output!D80/12))*12,3))&amp;" "&amp;IF(MROUND(ROUND((Output!D80/12-INT(Output!D80/12))*12,3)-INT(ROUND((Output!D80/12-INT(Output!D80/12))*12,3)),1/8)=0,"",VLOOKUP(MROUND((Output!D80/12-INT(Output!D80/12))*12-INT((Output!D80/12-INT(Output!D80/12))*12),1/8),fract[],2,FALSE))&amp;"''",""),"")</f>
        <v/>
      </c>
      <c r="E81" s="9" t="str">
        <f>IF(ISNUMBER(Output!E80),IF(Output!E80&gt;=12,IFERROR(ROUND(INT(Output!E80)/12,0)&amp;"'-"&amp;INT(ROUND((Output!E80/12-INT(Output!E80/12))*12,2))&amp;" "&amp;IF(MROUND(ROUND((Output!E80/12-INT(Output!E80/12))*12,3)-INT(ROUND((Output!E80/12-INT(Output!E80/12))*12,3)),1/8)=0,"",VLOOKUP(MROUND((Output!E80/12-INT(Output!E80/12))*12-INT((Output!E80/12-INT(Output!E80/12))*12),1/8),fract[],2,FALSE))&amp;"''",""),IFERROR(INT(Output!E80)&amp;" "&amp;IF(MROUND((Output!E80-INT(Output!E80)),1/8)=0,"",VLOOKUP(MROUND((Output!E80-INT(Output!E80)),1/8),fract[],2,FALSE))&amp;"''","")),"")</f>
        <v/>
      </c>
      <c r="F81" s="8"/>
      <c r="G81" s="8"/>
      <c r="H81" s="9" t="str">
        <f t="shared" si="2"/>
        <v/>
      </c>
      <c r="I81" s="9" t="str">
        <f t="shared" si="3"/>
        <v/>
      </c>
      <c r="J81" s="12" t="str">
        <f>IF(ISNUMBER(Output!F80),Output!F80,"")</f>
        <v/>
      </c>
      <c r="K81" s="12" t="str">
        <f>IF(ISNUMBER(Output!G80),Output!G80,"")</f>
        <v/>
      </c>
    </row>
    <row r="82" spans="1:11" ht="18" customHeight="1" x14ac:dyDescent="0.25">
      <c r="A82" s="9" t="str">
        <f>IF(ISBLANK(Output!A81),"",Output!A81)</f>
        <v/>
      </c>
      <c r="B82" s="9" t="str">
        <f>IF(ISBLANK(Output!B81),"",Output!B81)</f>
        <v/>
      </c>
      <c r="C82" s="9" t="str">
        <f>IF(ISNUMBER(Output!C81),IF(Output!C81&gt;=12,IFERROR(ROUND(INT(Output!C81)/12,0)&amp;"'-"&amp;INT(ROUND((Output!C81/12-INT(Output!C81/12))*12,2))&amp;" "&amp;IF(MROUND(ROUND((Output!C81/12-INT(Output!C81/12))*12,3)-INT(ROUND((Output!C81/12-INT(Output!C81/12))*12,3)),1/8)=0,"",VLOOKUP(MROUND((Output!C81/12-INT(Output!C81/12))*12-INT((Output!C81/12-INT(Output!C81/12))*12),1/8),fract[],2,FALSE))&amp;"''",""),IFERROR(INT(Output!C81)&amp;" "&amp;IF(MROUND((Output!C81-INT(Output!C81)),1/8)=0,"",VLOOKUP(MROUND((Output!C81-INT(Output!C81)),1/8),fract[],2,FALSE))&amp;"''","")),"")</f>
        <v/>
      </c>
      <c r="D82" s="9" t="str">
        <f>IF(ISNUMBER(Output!D81),IFERROR(ROUND(INT(Output!D81/12),3)&amp;"'-"&amp;INT(ROUND((Output!D81/12-INT(Output!D81/12))*12,3))&amp;" "&amp;IF(MROUND(ROUND((Output!D81/12-INT(Output!D81/12))*12,3)-INT(ROUND((Output!D81/12-INT(Output!D81/12))*12,3)),1/8)=0,"",VLOOKUP(MROUND((Output!D81/12-INT(Output!D81/12))*12-INT((Output!D81/12-INT(Output!D81/12))*12),1/8),fract[],2,FALSE))&amp;"''",""),"")</f>
        <v/>
      </c>
      <c r="E82" s="9" t="str">
        <f>IF(ISNUMBER(Output!E81),IF(Output!E81&gt;=12,IFERROR(ROUND(INT(Output!E81)/12,0)&amp;"'-"&amp;INT(ROUND((Output!E81/12-INT(Output!E81/12))*12,2))&amp;" "&amp;IF(MROUND(ROUND((Output!E81/12-INT(Output!E81/12))*12,3)-INT(ROUND((Output!E81/12-INT(Output!E81/12))*12,3)),1/8)=0,"",VLOOKUP(MROUND((Output!E81/12-INT(Output!E81/12))*12-INT((Output!E81/12-INT(Output!E81/12))*12),1/8),fract[],2,FALSE))&amp;"''",""),IFERROR(INT(Output!E81)&amp;" "&amp;IF(MROUND((Output!E81-INT(Output!E81)),1/8)=0,"",VLOOKUP(MROUND((Output!E81-INT(Output!E81)),1/8),fract[],2,FALSE))&amp;"''","")),"")</f>
        <v/>
      </c>
      <c r="F82" s="8"/>
      <c r="G82" s="8"/>
      <c r="H82" s="9" t="str">
        <f t="shared" si="2"/>
        <v/>
      </c>
      <c r="I82" s="9" t="str">
        <f t="shared" si="3"/>
        <v/>
      </c>
      <c r="J82" s="12" t="str">
        <f>IF(ISNUMBER(Output!F81),Output!F81,"")</f>
        <v/>
      </c>
      <c r="K82" s="12" t="str">
        <f>IF(ISNUMBER(Output!G81),Output!G81,"")</f>
        <v/>
      </c>
    </row>
    <row r="83" spans="1:11" ht="18" customHeight="1" x14ac:dyDescent="0.25">
      <c r="A83" s="9" t="str">
        <f>IF(ISBLANK(Output!A82),"",Output!A82)</f>
        <v/>
      </c>
      <c r="B83" s="9" t="str">
        <f>IF(ISBLANK(Output!B82),"",Output!B82)</f>
        <v/>
      </c>
      <c r="C83" s="9" t="str">
        <f>IF(ISNUMBER(Output!C82),IF(Output!C82&gt;=12,IFERROR(ROUND(INT(Output!C82)/12,0)&amp;"'-"&amp;INT(ROUND((Output!C82/12-INT(Output!C82/12))*12,2))&amp;" "&amp;IF(MROUND(ROUND((Output!C82/12-INT(Output!C82/12))*12,3)-INT(ROUND((Output!C82/12-INT(Output!C82/12))*12,3)),1/8)=0,"",VLOOKUP(MROUND((Output!C82/12-INT(Output!C82/12))*12-INT((Output!C82/12-INT(Output!C82/12))*12),1/8),fract[],2,FALSE))&amp;"''",""),IFERROR(INT(Output!C82)&amp;" "&amp;IF(MROUND((Output!C82-INT(Output!C82)),1/8)=0,"",VLOOKUP(MROUND((Output!C82-INT(Output!C82)),1/8),fract[],2,FALSE))&amp;"''","")),"")</f>
        <v/>
      </c>
      <c r="D83" s="9" t="str">
        <f>IF(ISNUMBER(Output!D82),IFERROR(ROUND(INT(Output!D82/12),3)&amp;"'-"&amp;INT(ROUND((Output!D82/12-INT(Output!D82/12))*12,3))&amp;" "&amp;IF(MROUND(ROUND((Output!D82/12-INT(Output!D82/12))*12,3)-INT(ROUND((Output!D82/12-INT(Output!D82/12))*12,3)),1/8)=0,"",VLOOKUP(MROUND((Output!D82/12-INT(Output!D82/12))*12-INT((Output!D82/12-INT(Output!D82/12))*12),1/8),fract[],2,FALSE))&amp;"''",""),"")</f>
        <v/>
      </c>
      <c r="E83" s="9" t="str">
        <f>IF(ISNUMBER(Output!E82),IF(Output!E82&gt;=12,IFERROR(ROUND(INT(Output!E82)/12,0)&amp;"'-"&amp;INT(ROUND((Output!E82/12-INT(Output!E82/12))*12,2))&amp;" "&amp;IF(MROUND(ROUND((Output!E82/12-INT(Output!E82/12))*12,3)-INT(ROUND((Output!E82/12-INT(Output!E82/12))*12,3)),1/8)=0,"",VLOOKUP(MROUND((Output!E82/12-INT(Output!E82/12))*12-INT((Output!E82/12-INT(Output!E82/12))*12),1/8),fract[],2,FALSE))&amp;"''",""),IFERROR(INT(Output!E82)&amp;" "&amp;IF(MROUND((Output!E82-INT(Output!E82)),1/8)=0,"",VLOOKUP(MROUND((Output!E82-INT(Output!E82)),1/8),fract[],2,FALSE))&amp;"''","")),"")</f>
        <v/>
      </c>
      <c r="F83" s="8"/>
      <c r="G83" s="8"/>
      <c r="H83" s="9" t="str">
        <f t="shared" si="2"/>
        <v/>
      </c>
      <c r="I83" s="9" t="str">
        <f t="shared" si="3"/>
        <v/>
      </c>
      <c r="J83" s="12" t="str">
        <f>IF(ISNUMBER(Output!F82),Output!F82,"")</f>
        <v/>
      </c>
      <c r="K83" s="12" t="str">
        <f>IF(ISNUMBER(Output!G82),Output!G82,"")</f>
        <v/>
      </c>
    </row>
    <row r="84" spans="1:11" ht="18" customHeight="1" x14ac:dyDescent="0.25">
      <c r="A84" s="9" t="str">
        <f>IF(ISBLANK(Output!A83),"",Output!A83)</f>
        <v/>
      </c>
      <c r="B84" s="9" t="str">
        <f>IF(ISBLANK(Output!B83),"",Output!B83)</f>
        <v/>
      </c>
      <c r="C84" s="9" t="str">
        <f>IF(ISNUMBER(Output!C83),IF(Output!C83&gt;=12,IFERROR(ROUND(INT(Output!C83)/12,0)&amp;"'-"&amp;INT(ROUND((Output!C83/12-INT(Output!C83/12))*12,2))&amp;" "&amp;IF(MROUND(ROUND((Output!C83/12-INT(Output!C83/12))*12,3)-INT(ROUND((Output!C83/12-INT(Output!C83/12))*12,3)),1/8)=0,"",VLOOKUP(MROUND((Output!C83/12-INT(Output!C83/12))*12-INT((Output!C83/12-INT(Output!C83/12))*12),1/8),fract[],2,FALSE))&amp;"''",""),IFERROR(INT(Output!C83)&amp;" "&amp;IF(MROUND((Output!C83-INT(Output!C83)),1/8)=0,"",VLOOKUP(MROUND((Output!C83-INT(Output!C83)),1/8),fract[],2,FALSE))&amp;"''","")),"")</f>
        <v/>
      </c>
      <c r="D84" s="9" t="str">
        <f>IF(ISNUMBER(Output!D83),IFERROR(ROUND(INT(Output!D83/12),3)&amp;"'-"&amp;INT(ROUND((Output!D83/12-INT(Output!D83/12))*12,3))&amp;" "&amp;IF(MROUND(ROUND((Output!D83/12-INT(Output!D83/12))*12,3)-INT(ROUND((Output!D83/12-INT(Output!D83/12))*12,3)),1/8)=0,"",VLOOKUP(MROUND((Output!D83/12-INT(Output!D83/12))*12-INT((Output!D83/12-INT(Output!D83/12))*12),1/8),fract[],2,FALSE))&amp;"''",""),"")</f>
        <v/>
      </c>
      <c r="E84" s="9" t="str">
        <f>IF(ISNUMBER(Output!E83),IF(Output!E83&gt;=12,IFERROR(ROUND(INT(Output!E83)/12,0)&amp;"'-"&amp;INT(ROUND((Output!E83/12-INT(Output!E83/12))*12,2))&amp;" "&amp;IF(MROUND(ROUND((Output!E83/12-INT(Output!E83/12))*12,3)-INT(ROUND((Output!E83/12-INT(Output!E83/12))*12,3)),1/8)=0,"",VLOOKUP(MROUND((Output!E83/12-INT(Output!E83/12))*12-INT((Output!E83/12-INT(Output!E83/12))*12),1/8),fract[],2,FALSE))&amp;"''",""),IFERROR(INT(Output!E83)&amp;" "&amp;IF(MROUND((Output!E83-INT(Output!E83)),1/8)=0,"",VLOOKUP(MROUND((Output!E83-INT(Output!E83)),1/8),fract[],2,FALSE))&amp;"''","")),"")</f>
        <v/>
      </c>
      <c r="F84" s="8"/>
      <c r="G84" s="8"/>
      <c r="H84" s="9" t="str">
        <f t="shared" si="2"/>
        <v/>
      </c>
      <c r="I84" s="9" t="str">
        <f t="shared" si="3"/>
        <v/>
      </c>
      <c r="J84" s="12" t="str">
        <f>IF(ISNUMBER(Output!F83),Output!F83,"")</f>
        <v/>
      </c>
      <c r="K84" s="12" t="str">
        <f>IF(ISNUMBER(Output!G83),Output!G83,"")</f>
        <v/>
      </c>
    </row>
    <row r="85" spans="1:11" ht="18" customHeight="1" x14ac:dyDescent="0.25">
      <c r="A85" s="9" t="str">
        <f>IF(ISBLANK(Output!A84),"",Output!A84)</f>
        <v/>
      </c>
      <c r="B85" s="9" t="str">
        <f>IF(ISBLANK(Output!B84),"",Output!B84)</f>
        <v/>
      </c>
      <c r="C85" s="9" t="str">
        <f>IF(ISNUMBER(Output!C84),IF(Output!C84&gt;=12,IFERROR(ROUND(INT(Output!C84)/12,0)&amp;"'-"&amp;INT(ROUND((Output!C84/12-INT(Output!C84/12))*12,2))&amp;" "&amp;IF(MROUND(ROUND((Output!C84/12-INT(Output!C84/12))*12,3)-INT(ROUND((Output!C84/12-INT(Output!C84/12))*12,3)),1/8)=0,"",VLOOKUP(MROUND((Output!C84/12-INT(Output!C84/12))*12-INT((Output!C84/12-INT(Output!C84/12))*12),1/8),fract[],2,FALSE))&amp;"''",""),IFERROR(INT(Output!C84)&amp;" "&amp;IF(MROUND((Output!C84-INT(Output!C84)),1/8)=0,"",VLOOKUP(MROUND((Output!C84-INT(Output!C84)),1/8),fract[],2,FALSE))&amp;"''","")),"")</f>
        <v/>
      </c>
      <c r="D85" s="9" t="str">
        <f>IF(ISNUMBER(Output!D84),IFERROR(ROUND(INT(Output!D84/12),3)&amp;"'-"&amp;INT(ROUND((Output!D84/12-INT(Output!D84/12))*12,3))&amp;" "&amp;IF(MROUND(ROUND((Output!D84/12-INT(Output!D84/12))*12,3)-INT(ROUND((Output!D84/12-INT(Output!D84/12))*12,3)),1/8)=0,"",VLOOKUP(MROUND((Output!D84/12-INT(Output!D84/12))*12-INT((Output!D84/12-INT(Output!D84/12))*12),1/8),fract[],2,FALSE))&amp;"''",""),"")</f>
        <v/>
      </c>
      <c r="E85" s="9" t="str">
        <f>IF(ISNUMBER(Output!E84),IF(Output!E84&gt;=12,IFERROR(ROUND(INT(Output!E84)/12,0)&amp;"'-"&amp;INT(ROUND((Output!E84/12-INT(Output!E84/12))*12,2))&amp;" "&amp;IF(MROUND(ROUND((Output!E84/12-INT(Output!E84/12))*12,3)-INT(ROUND((Output!E84/12-INT(Output!E84/12))*12,3)),1/8)=0,"",VLOOKUP(MROUND((Output!E84/12-INT(Output!E84/12))*12-INT((Output!E84/12-INT(Output!E84/12))*12),1/8),fract[],2,FALSE))&amp;"''",""),IFERROR(INT(Output!E84)&amp;" "&amp;IF(MROUND((Output!E84-INT(Output!E84)),1/8)=0,"",VLOOKUP(MROUND((Output!E84-INT(Output!E84)),1/8),fract[],2,FALSE))&amp;"''","")),"")</f>
        <v/>
      </c>
      <c r="F85" s="8"/>
      <c r="G85" s="8"/>
      <c r="H85" s="9" t="str">
        <f t="shared" si="2"/>
        <v/>
      </c>
      <c r="I85" s="9" t="str">
        <f t="shared" si="3"/>
        <v/>
      </c>
      <c r="J85" s="12" t="str">
        <f>IF(ISNUMBER(Output!F84),Output!F84,"")</f>
        <v/>
      </c>
      <c r="K85" s="12" t="str">
        <f>IF(ISNUMBER(Output!G84),Output!G84,"")</f>
        <v/>
      </c>
    </row>
    <row r="86" spans="1:11" ht="18" customHeight="1" x14ac:dyDescent="0.25">
      <c r="A86" s="9" t="str">
        <f>IF(ISBLANK(Output!A85),"",Output!A85)</f>
        <v/>
      </c>
      <c r="B86" s="9" t="str">
        <f>IF(ISBLANK(Output!B85),"",Output!B85)</f>
        <v/>
      </c>
      <c r="C86" s="9" t="str">
        <f>IF(ISNUMBER(Output!C85),IF(Output!C85&gt;=12,IFERROR(ROUND(INT(Output!C85)/12,0)&amp;"'-"&amp;INT(ROUND((Output!C85/12-INT(Output!C85/12))*12,2))&amp;" "&amp;IF(MROUND(ROUND((Output!C85/12-INT(Output!C85/12))*12,3)-INT(ROUND((Output!C85/12-INT(Output!C85/12))*12,3)),1/8)=0,"",VLOOKUP(MROUND((Output!C85/12-INT(Output!C85/12))*12-INT((Output!C85/12-INT(Output!C85/12))*12),1/8),fract[],2,FALSE))&amp;"''",""),IFERROR(INT(Output!C85)&amp;" "&amp;IF(MROUND((Output!C85-INT(Output!C85)),1/8)=0,"",VLOOKUP(MROUND((Output!C85-INT(Output!C85)),1/8),fract[],2,FALSE))&amp;"''","")),"")</f>
        <v/>
      </c>
      <c r="D86" s="9" t="str">
        <f>IF(ISNUMBER(Output!D85),IFERROR(ROUND(INT(Output!D85/12),3)&amp;"'-"&amp;INT(ROUND((Output!D85/12-INT(Output!D85/12))*12,3))&amp;" "&amp;IF(MROUND(ROUND((Output!D85/12-INT(Output!D85/12))*12,3)-INT(ROUND((Output!D85/12-INT(Output!D85/12))*12,3)),1/8)=0,"",VLOOKUP(MROUND((Output!D85/12-INT(Output!D85/12))*12-INT((Output!D85/12-INT(Output!D85/12))*12),1/8),fract[],2,FALSE))&amp;"''",""),"")</f>
        <v/>
      </c>
      <c r="E86" s="9" t="str">
        <f>IF(ISNUMBER(Output!E85),IF(Output!E85&gt;=12,IFERROR(ROUND(INT(Output!E85)/12,0)&amp;"'-"&amp;INT(ROUND((Output!E85/12-INT(Output!E85/12))*12,2))&amp;" "&amp;IF(MROUND(ROUND((Output!E85/12-INT(Output!E85/12))*12,3)-INT(ROUND((Output!E85/12-INT(Output!E85/12))*12,3)),1/8)=0,"",VLOOKUP(MROUND((Output!E85/12-INT(Output!E85/12))*12-INT((Output!E85/12-INT(Output!E85/12))*12),1/8),fract[],2,FALSE))&amp;"''",""),IFERROR(INT(Output!E85)&amp;" "&amp;IF(MROUND((Output!E85-INT(Output!E85)),1/8)=0,"",VLOOKUP(MROUND((Output!E85-INT(Output!E85)),1/8),fract[],2,FALSE))&amp;"''","")),"")</f>
        <v/>
      </c>
      <c r="F86" s="8"/>
      <c r="G86" s="8"/>
      <c r="H86" s="9" t="str">
        <f t="shared" si="2"/>
        <v/>
      </c>
      <c r="I86" s="9" t="str">
        <f t="shared" si="3"/>
        <v/>
      </c>
      <c r="J86" s="12" t="str">
        <f>IF(ISNUMBER(Output!F85),Output!F85,"")</f>
        <v/>
      </c>
      <c r="K86" s="12" t="str">
        <f>IF(ISNUMBER(Output!G85),Output!G85,"")</f>
        <v/>
      </c>
    </row>
    <row r="87" spans="1:11" ht="18" customHeight="1" x14ac:dyDescent="0.25">
      <c r="A87" s="9" t="str">
        <f>IF(ISBLANK(Output!A86),"",Output!A86)</f>
        <v/>
      </c>
      <c r="B87" s="9" t="str">
        <f>IF(ISBLANK(Output!B86),"",Output!B86)</f>
        <v/>
      </c>
      <c r="C87" s="9" t="str">
        <f>IF(ISNUMBER(Output!C86),IF(Output!C86&gt;=12,IFERROR(ROUND(INT(Output!C86)/12,0)&amp;"'-"&amp;INT(ROUND((Output!C86/12-INT(Output!C86/12))*12,2))&amp;" "&amp;IF(MROUND(ROUND((Output!C86/12-INT(Output!C86/12))*12,3)-INT(ROUND((Output!C86/12-INT(Output!C86/12))*12,3)),1/8)=0,"",VLOOKUP(MROUND((Output!C86/12-INT(Output!C86/12))*12-INT((Output!C86/12-INT(Output!C86/12))*12),1/8),fract[],2,FALSE))&amp;"''",""),IFERROR(INT(Output!C86)&amp;" "&amp;IF(MROUND((Output!C86-INT(Output!C86)),1/8)=0,"",VLOOKUP(MROUND((Output!C86-INT(Output!C86)),1/8),fract[],2,FALSE))&amp;"''","")),"")</f>
        <v/>
      </c>
      <c r="D87" s="9" t="str">
        <f>IF(ISNUMBER(Output!D86),IFERROR(ROUND(INT(Output!D86/12),3)&amp;"'-"&amp;INT(ROUND((Output!D86/12-INT(Output!D86/12))*12,3))&amp;" "&amp;IF(MROUND(ROUND((Output!D86/12-INT(Output!D86/12))*12,3)-INT(ROUND((Output!D86/12-INT(Output!D86/12))*12,3)),1/8)=0,"",VLOOKUP(MROUND((Output!D86/12-INT(Output!D86/12))*12-INT((Output!D86/12-INT(Output!D86/12))*12),1/8),fract[],2,FALSE))&amp;"''",""),"")</f>
        <v/>
      </c>
      <c r="E87" s="9" t="str">
        <f>IF(ISNUMBER(Output!E86),IF(Output!E86&gt;=12,IFERROR(ROUND(INT(Output!E86)/12,0)&amp;"'-"&amp;INT(ROUND((Output!E86/12-INT(Output!E86/12))*12,2))&amp;" "&amp;IF(MROUND(ROUND((Output!E86/12-INT(Output!E86/12))*12,3)-INT(ROUND((Output!E86/12-INT(Output!E86/12))*12,3)),1/8)=0,"",VLOOKUP(MROUND((Output!E86/12-INT(Output!E86/12))*12-INT((Output!E86/12-INT(Output!E86/12))*12),1/8),fract[],2,FALSE))&amp;"''",""),IFERROR(INT(Output!E86)&amp;" "&amp;IF(MROUND((Output!E86-INT(Output!E86)),1/8)=0,"",VLOOKUP(MROUND((Output!E86-INT(Output!E86)),1/8),fract[],2,FALSE))&amp;"''","")),"")</f>
        <v/>
      </c>
      <c r="F87" s="8"/>
      <c r="G87" s="8"/>
      <c r="H87" s="9" t="str">
        <f t="shared" si="2"/>
        <v/>
      </c>
      <c r="I87" s="9" t="str">
        <f t="shared" si="3"/>
        <v/>
      </c>
      <c r="J87" s="12" t="str">
        <f>IF(ISNUMBER(Output!F86),Output!F86,"")</f>
        <v/>
      </c>
      <c r="K87" s="12" t="str">
        <f>IF(ISNUMBER(Output!G86),Output!G86,"")</f>
        <v/>
      </c>
    </row>
    <row r="88" spans="1:11" ht="18" customHeight="1" x14ac:dyDescent="0.25">
      <c r="A88" s="9" t="str">
        <f>IF(ISBLANK(Output!A87),"",Output!A87)</f>
        <v/>
      </c>
      <c r="B88" s="9" t="str">
        <f>IF(ISBLANK(Output!B87),"",Output!B87)</f>
        <v/>
      </c>
      <c r="C88" s="9" t="str">
        <f>IF(ISNUMBER(Output!C87),IF(Output!C87&gt;=12,IFERROR(ROUND(INT(Output!C87)/12,0)&amp;"'-"&amp;INT(ROUND((Output!C87/12-INT(Output!C87/12))*12,2))&amp;" "&amp;IF(MROUND(ROUND((Output!C87/12-INT(Output!C87/12))*12,3)-INT(ROUND((Output!C87/12-INT(Output!C87/12))*12,3)),1/8)=0,"",VLOOKUP(MROUND((Output!C87/12-INT(Output!C87/12))*12-INT((Output!C87/12-INT(Output!C87/12))*12),1/8),fract[],2,FALSE))&amp;"''",""),IFERROR(INT(Output!C87)&amp;" "&amp;IF(MROUND((Output!C87-INT(Output!C87)),1/8)=0,"",VLOOKUP(MROUND((Output!C87-INT(Output!C87)),1/8),fract[],2,FALSE))&amp;"''","")),"")</f>
        <v/>
      </c>
      <c r="D88" s="9" t="str">
        <f>IF(ISNUMBER(Output!D87),IFERROR(ROUND(INT(Output!D87/12),3)&amp;"'-"&amp;INT(ROUND((Output!D87/12-INT(Output!D87/12))*12,3))&amp;" "&amp;IF(MROUND(ROUND((Output!D87/12-INT(Output!D87/12))*12,3)-INT(ROUND((Output!D87/12-INT(Output!D87/12))*12,3)),1/8)=0,"",VLOOKUP(MROUND((Output!D87/12-INT(Output!D87/12))*12-INT((Output!D87/12-INT(Output!D87/12))*12),1/8),fract[],2,FALSE))&amp;"''",""),"")</f>
        <v/>
      </c>
      <c r="E88" s="9" t="str">
        <f>IF(ISNUMBER(Output!E87),IF(Output!E87&gt;=12,IFERROR(ROUND(INT(Output!E87)/12,0)&amp;"'-"&amp;INT(ROUND((Output!E87/12-INT(Output!E87/12))*12,2))&amp;" "&amp;IF(MROUND(ROUND((Output!E87/12-INT(Output!E87/12))*12,3)-INT(ROUND((Output!E87/12-INT(Output!E87/12))*12,3)),1/8)=0,"",VLOOKUP(MROUND((Output!E87/12-INT(Output!E87/12))*12-INT((Output!E87/12-INT(Output!E87/12))*12),1/8),fract[],2,FALSE))&amp;"''",""),IFERROR(INT(Output!E87)&amp;" "&amp;IF(MROUND((Output!E87-INT(Output!E87)),1/8)=0,"",VLOOKUP(MROUND((Output!E87-INT(Output!E87)),1/8),fract[],2,FALSE))&amp;"''","")),"")</f>
        <v/>
      </c>
      <c r="F88" s="8"/>
      <c r="G88" s="8"/>
      <c r="H88" s="9" t="str">
        <f t="shared" si="2"/>
        <v/>
      </c>
      <c r="I88" s="9" t="str">
        <f t="shared" si="3"/>
        <v/>
      </c>
      <c r="J88" s="12" t="str">
        <f>IF(ISNUMBER(Output!F87),Output!F87,"")</f>
        <v/>
      </c>
      <c r="K88" s="12" t="str">
        <f>IF(ISNUMBER(Output!G87),Output!G87,"")</f>
        <v/>
      </c>
    </row>
    <row r="89" spans="1:11" ht="18" customHeight="1" x14ac:dyDescent="0.25">
      <c r="A89" s="9" t="str">
        <f>IF(ISBLANK(Output!A88),"",Output!A88)</f>
        <v/>
      </c>
      <c r="B89" s="9" t="str">
        <f>IF(ISBLANK(Output!B88),"",Output!B88)</f>
        <v/>
      </c>
      <c r="C89" s="9" t="str">
        <f>IF(ISNUMBER(Output!C88),IF(Output!C88&gt;=12,IFERROR(ROUND(INT(Output!C88)/12,0)&amp;"'-"&amp;INT(ROUND((Output!C88/12-INT(Output!C88/12))*12,2))&amp;" "&amp;IF(MROUND(ROUND((Output!C88/12-INT(Output!C88/12))*12,3)-INT(ROUND((Output!C88/12-INT(Output!C88/12))*12,3)),1/8)=0,"",VLOOKUP(MROUND((Output!C88/12-INT(Output!C88/12))*12-INT((Output!C88/12-INT(Output!C88/12))*12),1/8),fract[],2,FALSE))&amp;"''",""),IFERROR(INT(Output!C88)&amp;" "&amp;IF(MROUND((Output!C88-INT(Output!C88)),1/8)=0,"",VLOOKUP(MROUND((Output!C88-INT(Output!C88)),1/8),fract[],2,FALSE))&amp;"''","")),"")</f>
        <v/>
      </c>
      <c r="D89" s="9" t="str">
        <f>IF(ISNUMBER(Output!D88),IFERROR(ROUND(INT(Output!D88/12),3)&amp;"'-"&amp;INT(ROUND((Output!D88/12-INT(Output!D88/12))*12,3))&amp;" "&amp;IF(MROUND(ROUND((Output!D88/12-INT(Output!D88/12))*12,3)-INT(ROUND((Output!D88/12-INT(Output!D88/12))*12,3)),1/8)=0,"",VLOOKUP(MROUND((Output!D88/12-INT(Output!D88/12))*12-INT((Output!D88/12-INT(Output!D88/12))*12),1/8),fract[],2,FALSE))&amp;"''",""),"")</f>
        <v/>
      </c>
      <c r="E89" s="9" t="str">
        <f>IF(ISNUMBER(Output!E88),IF(Output!E88&gt;=12,IFERROR(ROUND(INT(Output!E88)/12,0)&amp;"'-"&amp;INT(ROUND((Output!E88/12-INT(Output!E88/12))*12,2))&amp;" "&amp;IF(MROUND(ROUND((Output!E88/12-INT(Output!E88/12))*12,3)-INT(ROUND((Output!E88/12-INT(Output!E88/12))*12,3)),1/8)=0,"",VLOOKUP(MROUND((Output!E88/12-INT(Output!E88/12))*12-INT((Output!E88/12-INT(Output!E88/12))*12),1/8),fract[],2,FALSE))&amp;"''",""),IFERROR(INT(Output!E88)&amp;" "&amp;IF(MROUND((Output!E88-INT(Output!E88)),1/8)=0,"",VLOOKUP(MROUND((Output!E88-INT(Output!E88)),1/8),fract[],2,FALSE))&amp;"''","")),"")</f>
        <v/>
      </c>
      <c r="F89" s="8"/>
      <c r="G89" s="8"/>
      <c r="H89" s="9" t="str">
        <f t="shared" si="2"/>
        <v/>
      </c>
      <c r="I89" s="9" t="str">
        <f t="shared" si="3"/>
        <v/>
      </c>
      <c r="J89" s="12" t="str">
        <f>IF(ISNUMBER(Output!F88),Output!F88,"")</f>
        <v/>
      </c>
      <c r="K89" s="12" t="str">
        <f>IF(ISNUMBER(Output!G88),Output!G88,"")</f>
        <v/>
      </c>
    </row>
    <row r="90" spans="1:11" ht="18" customHeight="1" x14ac:dyDescent="0.25">
      <c r="A90" s="9" t="str">
        <f>IF(ISBLANK(Output!A89),"",Output!A89)</f>
        <v/>
      </c>
      <c r="B90" s="9" t="str">
        <f>IF(ISBLANK(Output!B89),"",Output!B89)</f>
        <v/>
      </c>
      <c r="C90" s="9" t="str">
        <f>IF(ISNUMBER(Output!C89),IF(Output!C89&gt;=12,IFERROR(ROUND(INT(Output!C89)/12,0)&amp;"'-"&amp;INT(ROUND((Output!C89/12-INT(Output!C89/12))*12,2))&amp;" "&amp;IF(MROUND(ROUND((Output!C89/12-INT(Output!C89/12))*12,3)-INT(ROUND((Output!C89/12-INT(Output!C89/12))*12,3)),1/8)=0,"",VLOOKUP(MROUND((Output!C89/12-INT(Output!C89/12))*12-INT((Output!C89/12-INT(Output!C89/12))*12),1/8),fract[],2,FALSE))&amp;"''",""),IFERROR(INT(Output!C89)&amp;" "&amp;IF(MROUND((Output!C89-INT(Output!C89)),1/8)=0,"",VLOOKUP(MROUND((Output!C89-INT(Output!C89)),1/8),fract[],2,FALSE))&amp;"''","")),"")</f>
        <v/>
      </c>
      <c r="D90" s="9" t="str">
        <f>IF(ISNUMBER(Output!D89),IFERROR(ROUND(INT(Output!D89/12),3)&amp;"'-"&amp;INT(ROUND((Output!D89/12-INT(Output!D89/12))*12,3))&amp;" "&amp;IF(MROUND(ROUND((Output!D89/12-INT(Output!D89/12))*12,3)-INT(ROUND((Output!D89/12-INT(Output!D89/12))*12,3)),1/8)=0,"",VLOOKUP(MROUND((Output!D89/12-INT(Output!D89/12))*12-INT((Output!D89/12-INT(Output!D89/12))*12),1/8),fract[],2,FALSE))&amp;"''",""),"")</f>
        <v/>
      </c>
      <c r="E90" s="9" t="str">
        <f>IF(ISNUMBER(Output!E89),IF(Output!E89&gt;=12,IFERROR(ROUND(INT(Output!E89)/12,0)&amp;"'-"&amp;INT(ROUND((Output!E89/12-INT(Output!E89/12))*12,2))&amp;" "&amp;IF(MROUND(ROUND((Output!E89/12-INT(Output!E89/12))*12,3)-INT(ROUND((Output!E89/12-INT(Output!E89/12))*12,3)),1/8)=0,"",VLOOKUP(MROUND((Output!E89/12-INT(Output!E89/12))*12-INT((Output!E89/12-INT(Output!E89/12))*12),1/8),fract[],2,FALSE))&amp;"''",""),IFERROR(INT(Output!E89)&amp;" "&amp;IF(MROUND((Output!E89-INT(Output!E89)),1/8)=0,"",VLOOKUP(MROUND((Output!E89-INT(Output!E89)),1/8),fract[],2,FALSE))&amp;"''","")),"")</f>
        <v/>
      </c>
      <c r="F90" s="8"/>
      <c r="G90" s="8"/>
      <c r="H90" s="9" t="str">
        <f t="shared" si="2"/>
        <v/>
      </c>
      <c r="I90" s="9" t="str">
        <f t="shared" si="3"/>
        <v/>
      </c>
      <c r="J90" s="12" t="str">
        <f>IF(ISNUMBER(Output!F89),Output!F89,"")</f>
        <v/>
      </c>
      <c r="K90" s="12" t="str">
        <f>IF(ISNUMBER(Output!G89),Output!G89,"")</f>
        <v/>
      </c>
    </row>
    <row r="91" spans="1:11" ht="18" customHeight="1" x14ac:dyDescent="0.25">
      <c r="A91" s="9" t="str">
        <f>IF(ISBLANK(Output!A90),"",Output!A90)</f>
        <v/>
      </c>
      <c r="B91" s="9" t="str">
        <f>IF(ISBLANK(Output!B90),"",Output!B90)</f>
        <v/>
      </c>
      <c r="C91" s="9" t="str">
        <f>IF(ISNUMBER(Output!C90),IF(Output!C90&gt;=12,IFERROR(ROUND(INT(Output!C90)/12,0)&amp;"'-"&amp;INT(ROUND((Output!C90/12-INT(Output!C90/12))*12,2))&amp;" "&amp;IF(MROUND(ROUND((Output!C90/12-INT(Output!C90/12))*12,3)-INT(ROUND((Output!C90/12-INT(Output!C90/12))*12,3)),1/8)=0,"",VLOOKUP(MROUND((Output!C90/12-INT(Output!C90/12))*12-INT((Output!C90/12-INT(Output!C90/12))*12),1/8),fract[],2,FALSE))&amp;"''",""),IFERROR(INT(Output!C90)&amp;" "&amp;IF(MROUND((Output!C90-INT(Output!C90)),1/8)=0,"",VLOOKUP(MROUND((Output!C90-INT(Output!C90)),1/8),fract[],2,FALSE))&amp;"''","")),"")</f>
        <v/>
      </c>
      <c r="D91" s="9" t="str">
        <f>IF(ISNUMBER(Output!D90),IFERROR(ROUND(INT(Output!D90/12),3)&amp;"'-"&amp;INT(ROUND((Output!D90/12-INT(Output!D90/12))*12,3))&amp;" "&amp;IF(MROUND(ROUND((Output!D90/12-INT(Output!D90/12))*12,3)-INT(ROUND((Output!D90/12-INT(Output!D90/12))*12,3)),1/8)=0,"",VLOOKUP(MROUND((Output!D90/12-INT(Output!D90/12))*12-INT((Output!D90/12-INT(Output!D90/12))*12),1/8),fract[],2,FALSE))&amp;"''",""),"")</f>
        <v/>
      </c>
      <c r="E91" s="9" t="str">
        <f>IF(ISNUMBER(Output!E90),IF(Output!E90&gt;=12,IFERROR(ROUND(INT(Output!E90)/12,0)&amp;"'-"&amp;INT(ROUND((Output!E90/12-INT(Output!E90/12))*12,2))&amp;" "&amp;IF(MROUND(ROUND((Output!E90/12-INT(Output!E90/12))*12,3)-INT(ROUND((Output!E90/12-INT(Output!E90/12))*12,3)),1/8)=0,"",VLOOKUP(MROUND((Output!E90/12-INT(Output!E90/12))*12-INT((Output!E90/12-INT(Output!E90/12))*12),1/8),fract[],2,FALSE))&amp;"''",""),IFERROR(INT(Output!E90)&amp;" "&amp;IF(MROUND((Output!E90-INT(Output!E90)),1/8)=0,"",VLOOKUP(MROUND((Output!E90-INT(Output!E90)),1/8),fract[],2,FALSE))&amp;"''","")),"")</f>
        <v/>
      </c>
      <c r="F91" s="8"/>
      <c r="G91" s="8"/>
      <c r="H91" s="9" t="str">
        <f t="shared" si="2"/>
        <v/>
      </c>
      <c r="I91" s="9" t="str">
        <f t="shared" si="3"/>
        <v/>
      </c>
      <c r="J91" s="12" t="str">
        <f>IF(ISNUMBER(Output!F90),Output!F90,"")</f>
        <v/>
      </c>
      <c r="K91" s="12" t="str">
        <f>IF(ISNUMBER(Output!G90),Output!G90,"")</f>
        <v/>
      </c>
    </row>
    <row r="92" spans="1:11" ht="18" customHeight="1" x14ac:dyDescent="0.25">
      <c r="A92" s="9" t="str">
        <f>IF(ISBLANK(Output!A91),"",Output!A91)</f>
        <v/>
      </c>
      <c r="B92" s="9" t="str">
        <f>IF(ISBLANK(Output!B91),"",Output!B91)</f>
        <v/>
      </c>
      <c r="C92" s="9" t="str">
        <f>IF(ISNUMBER(Output!C91),IF(Output!C91&gt;=12,IFERROR(ROUND(INT(Output!C91)/12,0)&amp;"'-"&amp;INT(ROUND((Output!C91/12-INT(Output!C91/12))*12,2))&amp;" "&amp;IF(MROUND(ROUND((Output!C91/12-INT(Output!C91/12))*12,3)-INT(ROUND((Output!C91/12-INT(Output!C91/12))*12,3)),1/8)=0,"",VLOOKUP(MROUND((Output!C91/12-INT(Output!C91/12))*12-INT((Output!C91/12-INT(Output!C91/12))*12),1/8),fract[],2,FALSE))&amp;"''",""),IFERROR(INT(Output!C91)&amp;" "&amp;IF(MROUND((Output!C91-INT(Output!C91)),1/8)=0,"",VLOOKUP(MROUND((Output!C91-INT(Output!C91)),1/8),fract[],2,FALSE))&amp;"''","")),"")</f>
        <v/>
      </c>
      <c r="D92" s="9" t="str">
        <f>IF(ISNUMBER(Output!D91),IFERROR(ROUND(INT(Output!D91/12),3)&amp;"'-"&amp;INT(ROUND((Output!D91/12-INT(Output!D91/12))*12,3))&amp;" "&amp;IF(MROUND(ROUND((Output!D91/12-INT(Output!D91/12))*12,3)-INT(ROUND((Output!D91/12-INT(Output!D91/12))*12,3)),1/8)=0,"",VLOOKUP(MROUND((Output!D91/12-INT(Output!D91/12))*12-INT((Output!D91/12-INT(Output!D91/12))*12),1/8),fract[],2,FALSE))&amp;"''",""),"")</f>
        <v/>
      </c>
      <c r="E92" s="9" t="str">
        <f>IF(ISNUMBER(Output!E91),IF(Output!E91&gt;=12,IFERROR(ROUND(INT(Output!E91)/12,0)&amp;"'-"&amp;INT(ROUND((Output!E91/12-INT(Output!E91/12))*12,2))&amp;" "&amp;IF(MROUND(ROUND((Output!E91/12-INT(Output!E91/12))*12,3)-INT(ROUND((Output!E91/12-INT(Output!E91/12))*12,3)),1/8)=0,"",VLOOKUP(MROUND((Output!E91/12-INT(Output!E91/12))*12-INT((Output!E91/12-INT(Output!E91/12))*12),1/8),fract[],2,FALSE))&amp;"''",""),IFERROR(INT(Output!E91)&amp;" "&amp;IF(MROUND((Output!E91-INT(Output!E91)),1/8)=0,"",VLOOKUP(MROUND((Output!E91-INT(Output!E91)),1/8),fract[],2,FALSE))&amp;"''","")),"")</f>
        <v/>
      </c>
      <c r="F92" s="8"/>
      <c r="G92" s="8"/>
      <c r="H92" s="9" t="str">
        <f t="shared" si="2"/>
        <v/>
      </c>
      <c r="I92" s="9" t="str">
        <f t="shared" si="3"/>
        <v/>
      </c>
      <c r="J92" s="12" t="str">
        <f>IF(ISNUMBER(Output!F91),Output!F91,"")</f>
        <v/>
      </c>
      <c r="K92" s="12" t="str">
        <f>IF(ISNUMBER(Output!G91),Output!G91,"")</f>
        <v/>
      </c>
    </row>
    <row r="93" spans="1:11" ht="18" customHeight="1" x14ac:dyDescent="0.25">
      <c r="A93" s="9" t="str">
        <f>IF(ISBLANK(Output!A92),"",Output!A92)</f>
        <v/>
      </c>
      <c r="B93" s="9" t="str">
        <f>IF(ISBLANK(Output!B92),"",Output!B92)</f>
        <v/>
      </c>
      <c r="C93" s="9" t="str">
        <f>IF(ISNUMBER(Output!C92),IF(Output!C92&gt;=12,IFERROR(ROUND(INT(Output!C92)/12,0)&amp;"'-"&amp;INT(ROUND((Output!C92/12-INT(Output!C92/12))*12,2))&amp;" "&amp;IF(MROUND(ROUND((Output!C92/12-INT(Output!C92/12))*12,3)-INT(ROUND((Output!C92/12-INT(Output!C92/12))*12,3)),1/8)=0,"",VLOOKUP(MROUND((Output!C92/12-INT(Output!C92/12))*12-INT((Output!C92/12-INT(Output!C92/12))*12),1/8),fract[],2,FALSE))&amp;"''",""),IFERROR(INT(Output!C92)&amp;" "&amp;IF(MROUND((Output!C92-INT(Output!C92)),1/8)=0,"",VLOOKUP(MROUND((Output!C92-INT(Output!C92)),1/8),fract[],2,FALSE))&amp;"''","")),"")</f>
        <v/>
      </c>
      <c r="D93" s="9" t="str">
        <f>IF(ISNUMBER(Output!D92),IFERROR(ROUND(INT(Output!D92/12),3)&amp;"'-"&amp;INT(ROUND((Output!D92/12-INT(Output!D92/12))*12,3))&amp;" "&amp;IF(MROUND(ROUND((Output!D92/12-INT(Output!D92/12))*12,3)-INT(ROUND((Output!D92/12-INT(Output!D92/12))*12,3)),1/8)=0,"",VLOOKUP(MROUND((Output!D92/12-INT(Output!D92/12))*12-INT((Output!D92/12-INT(Output!D92/12))*12),1/8),fract[],2,FALSE))&amp;"''",""),"")</f>
        <v/>
      </c>
      <c r="E93" s="9" t="str">
        <f>IF(ISNUMBER(Output!E92),IF(Output!E92&gt;=12,IFERROR(ROUND(INT(Output!E92)/12,0)&amp;"'-"&amp;INT(ROUND((Output!E92/12-INT(Output!E92/12))*12,2))&amp;" "&amp;IF(MROUND(ROUND((Output!E92/12-INT(Output!E92/12))*12,3)-INT(ROUND((Output!E92/12-INT(Output!E92/12))*12,3)),1/8)=0,"",VLOOKUP(MROUND((Output!E92/12-INT(Output!E92/12))*12-INT((Output!E92/12-INT(Output!E92/12))*12),1/8),fract[],2,FALSE))&amp;"''",""),IFERROR(INT(Output!E92)&amp;" "&amp;IF(MROUND((Output!E92-INT(Output!E92)),1/8)=0,"",VLOOKUP(MROUND((Output!E92-INT(Output!E92)),1/8),fract[],2,FALSE))&amp;"''","")),"")</f>
        <v/>
      </c>
      <c r="F93" s="8"/>
      <c r="G93" s="8"/>
      <c r="H93" s="9" t="str">
        <f t="shared" si="2"/>
        <v/>
      </c>
      <c r="I93" s="9" t="str">
        <f t="shared" si="3"/>
        <v/>
      </c>
      <c r="J93" s="12" t="str">
        <f>IF(ISNUMBER(Output!F92),Output!F92,"")</f>
        <v/>
      </c>
      <c r="K93" s="12" t="str">
        <f>IF(ISNUMBER(Output!G92),Output!G92,"")</f>
        <v/>
      </c>
    </row>
    <row r="94" spans="1:11" ht="18" customHeight="1" x14ac:dyDescent="0.25">
      <c r="A94" s="9" t="str">
        <f>IF(ISBLANK(Output!A93),"",Output!A93)</f>
        <v/>
      </c>
      <c r="B94" s="9" t="str">
        <f>IF(ISBLANK(Output!B93),"",Output!B93)</f>
        <v/>
      </c>
      <c r="C94" s="9" t="str">
        <f>IF(ISNUMBER(Output!C93),IF(Output!C93&gt;=12,IFERROR(ROUND(INT(Output!C93)/12,0)&amp;"'-"&amp;INT(ROUND((Output!C93/12-INT(Output!C93/12))*12,2))&amp;" "&amp;IF(MROUND(ROUND((Output!C93/12-INT(Output!C93/12))*12,3)-INT(ROUND((Output!C93/12-INT(Output!C93/12))*12,3)),1/8)=0,"",VLOOKUP(MROUND((Output!C93/12-INT(Output!C93/12))*12-INT((Output!C93/12-INT(Output!C93/12))*12),1/8),fract[],2,FALSE))&amp;"''",""),IFERROR(INT(Output!C93)&amp;" "&amp;IF(MROUND((Output!C93-INT(Output!C93)),1/8)=0,"",VLOOKUP(MROUND((Output!C93-INT(Output!C93)),1/8),fract[],2,FALSE))&amp;"''","")),"")</f>
        <v/>
      </c>
      <c r="D94" s="9" t="str">
        <f>IF(ISNUMBER(Output!D93),IFERROR(ROUND(INT(Output!D93/12),3)&amp;"'-"&amp;INT(ROUND((Output!D93/12-INT(Output!D93/12))*12,3))&amp;" "&amp;IF(MROUND(ROUND((Output!D93/12-INT(Output!D93/12))*12,3)-INT(ROUND((Output!D93/12-INT(Output!D93/12))*12,3)),1/8)=0,"",VLOOKUP(MROUND((Output!D93/12-INT(Output!D93/12))*12-INT((Output!D93/12-INT(Output!D93/12))*12),1/8),fract[],2,FALSE))&amp;"''",""),"")</f>
        <v/>
      </c>
      <c r="E94" s="9" t="str">
        <f>IF(ISNUMBER(Output!E93),IF(Output!E93&gt;=12,IFERROR(ROUND(INT(Output!E93)/12,0)&amp;"'-"&amp;INT(ROUND((Output!E93/12-INT(Output!E93/12))*12,2))&amp;" "&amp;IF(MROUND(ROUND((Output!E93/12-INT(Output!E93/12))*12,3)-INT(ROUND((Output!E93/12-INT(Output!E93/12))*12,3)),1/8)=0,"",VLOOKUP(MROUND((Output!E93/12-INT(Output!E93/12))*12-INT((Output!E93/12-INT(Output!E93/12))*12),1/8),fract[],2,FALSE))&amp;"''",""),IFERROR(INT(Output!E93)&amp;" "&amp;IF(MROUND((Output!E93-INT(Output!E93)),1/8)=0,"",VLOOKUP(MROUND((Output!E93-INT(Output!E93)),1/8),fract[],2,FALSE))&amp;"''","")),"")</f>
        <v/>
      </c>
      <c r="F94" s="8"/>
      <c r="G94" s="8"/>
      <c r="H94" s="9" t="str">
        <f t="shared" si="2"/>
        <v/>
      </c>
      <c r="I94" s="9" t="str">
        <f t="shared" si="3"/>
        <v/>
      </c>
      <c r="J94" s="12" t="str">
        <f>IF(ISNUMBER(Output!F93),Output!F93,"")</f>
        <v/>
      </c>
      <c r="K94" s="12" t="str">
        <f>IF(ISNUMBER(Output!G93),Output!G93,"")</f>
        <v/>
      </c>
    </row>
    <row r="95" spans="1:11" ht="18" customHeight="1" x14ac:dyDescent="0.25">
      <c r="A95" s="9" t="str">
        <f>IF(ISBLANK(Output!A94),"",Output!A94)</f>
        <v/>
      </c>
      <c r="B95" s="9" t="str">
        <f>IF(ISBLANK(Output!B94),"",Output!B94)</f>
        <v/>
      </c>
      <c r="C95" s="9" t="str">
        <f>IF(ISNUMBER(Output!C94),IF(Output!C94&gt;=12,IFERROR(ROUND(INT(Output!C94)/12,0)&amp;"'-"&amp;INT(ROUND((Output!C94/12-INT(Output!C94/12))*12,2))&amp;" "&amp;IF(MROUND(ROUND((Output!C94/12-INT(Output!C94/12))*12,3)-INT(ROUND((Output!C94/12-INT(Output!C94/12))*12,3)),1/8)=0,"",VLOOKUP(MROUND((Output!C94/12-INT(Output!C94/12))*12-INT((Output!C94/12-INT(Output!C94/12))*12),1/8),fract[],2,FALSE))&amp;"''",""),IFERROR(INT(Output!C94)&amp;" "&amp;IF(MROUND((Output!C94-INT(Output!C94)),1/8)=0,"",VLOOKUP(MROUND((Output!C94-INT(Output!C94)),1/8),fract[],2,FALSE))&amp;"''","")),"")</f>
        <v/>
      </c>
      <c r="D95" s="9" t="str">
        <f>IF(ISNUMBER(Output!D94),IFERROR(ROUND(INT(Output!D94/12),3)&amp;"'-"&amp;INT(ROUND((Output!D94/12-INT(Output!D94/12))*12,3))&amp;" "&amp;IF(MROUND(ROUND((Output!D94/12-INT(Output!D94/12))*12,3)-INT(ROUND((Output!D94/12-INT(Output!D94/12))*12,3)),1/8)=0,"",VLOOKUP(MROUND((Output!D94/12-INT(Output!D94/12))*12-INT((Output!D94/12-INT(Output!D94/12))*12),1/8),fract[],2,FALSE))&amp;"''",""),"")</f>
        <v/>
      </c>
      <c r="E95" s="9" t="str">
        <f>IF(ISNUMBER(Output!E94),IF(Output!E94&gt;=12,IFERROR(ROUND(INT(Output!E94)/12,0)&amp;"'-"&amp;INT(ROUND((Output!E94/12-INT(Output!E94/12))*12,2))&amp;" "&amp;IF(MROUND(ROUND((Output!E94/12-INT(Output!E94/12))*12,3)-INT(ROUND((Output!E94/12-INT(Output!E94/12))*12,3)),1/8)=0,"",VLOOKUP(MROUND((Output!E94/12-INT(Output!E94/12))*12-INT((Output!E94/12-INT(Output!E94/12))*12),1/8),fract[],2,FALSE))&amp;"''",""),IFERROR(INT(Output!E94)&amp;" "&amp;IF(MROUND((Output!E94-INT(Output!E94)),1/8)=0,"",VLOOKUP(MROUND((Output!E94-INT(Output!E94)),1/8),fract[],2,FALSE))&amp;"''","")),"")</f>
        <v/>
      </c>
      <c r="F95" s="8"/>
      <c r="G95" s="8"/>
      <c r="H95" s="9" t="str">
        <f t="shared" si="2"/>
        <v/>
      </c>
      <c r="I95" s="9" t="str">
        <f t="shared" si="3"/>
        <v/>
      </c>
      <c r="J95" s="12" t="str">
        <f>IF(ISNUMBER(Output!F94),Output!F94,"")</f>
        <v/>
      </c>
      <c r="K95" s="12" t="str">
        <f>IF(ISNUMBER(Output!G94),Output!G94,"")</f>
        <v/>
      </c>
    </row>
    <row r="96" spans="1:11" ht="18" customHeight="1" x14ac:dyDescent="0.25">
      <c r="A96" s="9" t="str">
        <f>IF(ISBLANK(Output!A95),"",Output!A95)</f>
        <v/>
      </c>
      <c r="B96" s="9" t="str">
        <f>IF(ISBLANK(Output!B95),"",Output!B95)</f>
        <v/>
      </c>
      <c r="C96" s="9" t="str">
        <f>IF(ISNUMBER(Output!C95),IF(Output!C95&gt;=12,IFERROR(ROUND(INT(Output!C95)/12,0)&amp;"'-"&amp;INT(ROUND((Output!C95/12-INT(Output!C95/12))*12,2))&amp;" "&amp;IF(MROUND(ROUND((Output!C95/12-INT(Output!C95/12))*12,3)-INT(ROUND((Output!C95/12-INT(Output!C95/12))*12,3)),1/8)=0,"",VLOOKUP(MROUND((Output!C95/12-INT(Output!C95/12))*12-INT((Output!C95/12-INT(Output!C95/12))*12),1/8),fract[],2,FALSE))&amp;"''",""),IFERROR(INT(Output!C95)&amp;" "&amp;IF(MROUND((Output!C95-INT(Output!C95)),1/8)=0,"",VLOOKUP(MROUND((Output!C95-INT(Output!C95)),1/8),fract[],2,FALSE))&amp;"''","")),"")</f>
        <v/>
      </c>
      <c r="D96" s="9" t="str">
        <f>IF(ISNUMBER(Output!D95),IFERROR(ROUND(INT(Output!D95/12),3)&amp;"'-"&amp;INT(ROUND((Output!D95/12-INT(Output!D95/12))*12,3))&amp;" "&amp;IF(MROUND(ROUND((Output!D95/12-INT(Output!D95/12))*12,3)-INT(ROUND((Output!D95/12-INT(Output!D95/12))*12,3)),1/8)=0,"",VLOOKUP(MROUND((Output!D95/12-INT(Output!D95/12))*12-INT((Output!D95/12-INT(Output!D95/12))*12),1/8),fract[],2,FALSE))&amp;"''",""),"")</f>
        <v/>
      </c>
      <c r="E96" s="9" t="str">
        <f>IF(ISNUMBER(Output!E95),IF(Output!E95&gt;=12,IFERROR(ROUND(INT(Output!E95)/12,0)&amp;"'-"&amp;INT(ROUND((Output!E95/12-INT(Output!E95/12))*12,2))&amp;" "&amp;IF(MROUND(ROUND((Output!E95/12-INT(Output!E95/12))*12,3)-INT(ROUND((Output!E95/12-INT(Output!E95/12))*12,3)),1/8)=0,"",VLOOKUP(MROUND((Output!E95/12-INT(Output!E95/12))*12-INT((Output!E95/12-INT(Output!E95/12))*12),1/8),fract[],2,FALSE))&amp;"''",""),IFERROR(INT(Output!E95)&amp;" "&amp;IF(MROUND((Output!E95-INT(Output!E95)),1/8)=0,"",VLOOKUP(MROUND((Output!E95-INT(Output!E95)),1/8),fract[],2,FALSE))&amp;"''","")),"")</f>
        <v/>
      </c>
      <c r="F96" s="8"/>
      <c r="G96" s="8"/>
      <c r="H96" s="9" t="str">
        <f t="shared" si="2"/>
        <v/>
      </c>
      <c r="I96" s="9" t="str">
        <f t="shared" si="3"/>
        <v/>
      </c>
      <c r="J96" s="12" t="str">
        <f>IF(ISNUMBER(Output!F95),Output!F95,"")</f>
        <v/>
      </c>
      <c r="K96" s="12" t="str">
        <f>IF(ISNUMBER(Output!G95),Output!G95,"")</f>
        <v/>
      </c>
    </row>
    <row r="97" spans="1:11" ht="18" customHeight="1" x14ac:dyDescent="0.25">
      <c r="A97" s="9" t="str">
        <f>IF(ISBLANK(Output!A96),"",Output!A96)</f>
        <v/>
      </c>
      <c r="B97" s="9" t="str">
        <f>IF(ISBLANK(Output!B96),"",Output!B96)</f>
        <v/>
      </c>
      <c r="C97" s="9" t="str">
        <f>IF(ISNUMBER(Output!C96),IF(Output!C96&gt;=12,IFERROR(ROUND(INT(Output!C96)/12,0)&amp;"'-"&amp;INT(ROUND((Output!C96/12-INT(Output!C96/12))*12,2))&amp;" "&amp;IF(MROUND(ROUND((Output!C96/12-INT(Output!C96/12))*12,3)-INT(ROUND((Output!C96/12-INT(Output!C96/12))*12,3)),1/8)=0,"",VLOOKUP(MROUND((Output!C96/12-INT(Output!C96/12))*12-INT((Output!C96/12-INT(Output!C96/12))*12),1/8),fract[],2,FALSE))&amp;"''",""),IFERROR(INT(Output!C96)&amp;" "&amp;IF(MROUND((Output!C96-INT(Output!C96)),1/8)=0,"",VLOOKUP(MROUND((Output!C96-INT(Output!C96)),1/8),fract[],2,FALSE))&amp;"''","")),"")</f>
        <v/>
      </c>
      <c r="D97" s="9" t="str">
        <f>IF(ISNUMBER(Output!D96),IFERROR(ROUND(INT(Output!D96/12),3)&amp;"'-"&amp;INT(ROUND((Output!D96/12-INT(Output!D96/12))*12,3))&amp;" "&amp;IF(MROUND(ROUND((Output!D96/12-INT(Output!D96/12))*12,3)-INT(ROUND((Output!D96/12-INT(Output!D96/12))*12,3)),1/8)=0,"",VLOOKUP(MROUND((Output!D96/12-INT(Output!D96/12))*12-INT((Output!D96/12-INT(Output!D96/12))*12),1/8),fract[],2,FALSE))&amp;"''",""),"")</f>
        <v/>
      </c>
      <c r="E97" s="9" t="str">
        <f>IF(ISNUMBER(Output!E96),IF(Output!E96&gt;=12,IFERROR(ROUND(INT(Output!E96)/12,0)&amp;"'-"&amp;INT(ROUND((Output!E96/12-INT(Output!E96/12))*12,2))&amp;" "&amp;IF(MROUND(ROUND((Output!E96/12-INT(Output!E96/12))*12,3)-INT(ROUND((Output!E96/12-INT(Output!E96/12))*12,3)),1/8)=0,"",VLOOKUP(MROUND((Output!E96/12-INT(Output!E96/12))*12-INT((Output!E96/12-INT(Output!E96/12))*12),1/8),fract[],2,FALSE))&amp;"''",""),IFERROR(INT(Output!E96)&amp;" "&amp;IF(MROUND((Output!E96-INT(Output!E96)),1/8)=0,"",VLOOKUP(MROUND((Output!E96-INT(Output!E96)),1/8),fract[],2,FALSE))&amp;"''","")),"")</f>
        <v/>
      </c>
      <c r="F97" s="8"/>
      <c r="G97" s="8"/>
      <c r="H97" s="9" t="str">
        <f t="shared" si="2"/>
        <v/>
      </c>
      <c r="I97" s="9" t="str">
        <f t="shared" si="3"/>
        <v/>
      </c>
      <c r="J97" s="12" t="str">
        <f>IF(ISNUMBER(Output!F96),Output!F96,"")</f>
        <v/>
      </c>
      <c r="K97" s="12" t="str">
        <f>IF(ISNUMBER(Output!G96),Output!G96,"")</f>
        <v/>
      </c>
    </row>
    <row r="98" spans="1:11" ht="18" customHeight="1" x14ac:dyDescent="0.25">
      <c r="A98" s="9" t="str">
        <f>IF(ISBLANK(Output!A97),"",Output!A97)</f>
        <v/>
      </c>
      <c r="B98" s="9" t="str">
        <f>IF(ISBLANK(Output!B97),"",Output!B97)</f>
        <v/>
      </c>
      <c r="C98" s="9" t="str">
        <f>IF(ISNUMBER(Output!C97),IF(Output!C97&gt;=12,IFERROR(ROUND(INT(Output!C97)/12,0)&amp;"'-"&amp;INT(ROUND((Output!C97/12-INT(Output!C97/12))*12,2))&amp;" "&amp;IF(MROUND(ROUND((Output!C97/12-INT(Output!C97/12))*12,3)-INT(ROUND((Output!C97/12-INT(Output!C97/12))*12,3)),1/8)=0,"",VLOOKUP(MROUND((Output!C97/12-INT(Output!C97/12))*12-INT((Output!C97/12-INT(Output!C97/12))*12),1/8),fract[],2,FALSE))&amp;"''",""),IFERROR(INT(Output!C97)&amp;" "&amp;IF(MROUND((Output!C97-INT(Output!C97)),1/8)=0,"",VLOOKUP(MROUND((Output!C97-INT(Output!C97)),1/8),fract[],2,FALSE))&amp;"''","")),"")</f>
        <v/>
      </c>
      <c r="D98" s="9" t="str">
        <f>IF(ISNUMBER(Output!D97),IFERROR(ROUND(INT(Output!D97/12),3)&amp;"'-"&amp;INT(ROUND((Output!D97/12-INT(Output!D97/12))*12,3))&amp;" "&amp;IF(MROUND(ROUND((Output!D97/12-INT(Output!D97/12))*12,3)-INT(ROUND((Output!D97/12-INT(Output!D97/12))*12,3)),1/8)=0,"",VLOOKUP(MROUND((Output!D97/12-INT(Output!D97/12))*12-INT((Output!D97/12-INT(Output!D97/12))*12),1/8),fract[],2,FALSE))&amp;"''",""),"")</f>
        <v/>
      </c>
      <c r="E98" s="9" t="str">
        <f>IF(ISNUMBER(Output!E97),IF(Output!E97&gt;=12,IFERROR(ROUND(INT(Output!E97)/12,0)&amp;"'-"&amp;INT(ROUND((Output!E97/12-INT(Output!E97/12))*12,2))&amp;" "&amp;IF(MROUND(ROUND((Output!E97/12-INT(Output!E97/12))*12,3)-INT(ROUND((Output!E97/12-INT(Output!E97/12))*12,3)),1/8)=0,"",VLOOKUP(MROUND((Output!E97/12-INT(Output!E97/12))*12-INT((Output!E97/12-INT(Output!E97/12))*12),1/8),fract[],2,FALSE))&amp;"''",""),IFERROR(INT(Output!E97)&amp;" "&amp;IF(MROUND((Output!E97-INT(Output!E97)),1/8)=0,"",VLOOKUP(MROUND((Output!E97-INT(Output!E97)),1/8),fract[],2,FALSE))&amp;"''","")),"")</f>
        <v/>
      </c>
      <c r="F98" s="8"/>
      <c r="G98" s="8"/>
      <c r="H98" s="9" t="str">
        <f t="shared" si="2"/>
        <v/>
      </c>
      <c r="I98" s="9" t="str">
        <f t="shared" si="3"/>
        <v/>
      </c>
      <c r="J98" s="12" t="str">
        <f>IF(ISNUMBER(Output!F97),Output!F97,"")</f>
        <v/>
      </c>
      <c r="K98" s="12" t="str">
        <f>IF(ISNUMBER(Output!G97),Output!G97,"")</f>
        <v/>
      </c>
    </row>
    <row r="99" spans="1:11" ht="18" customHeight="1" x14ac:dyDescent="0.25">
      <c r="A99" s="9" t="str">
        <f>IF(ISBLANK(Output!A98),"",Output!A98)</f>
        <v/>
      </c>
      <c r="B99" s="9" t="str">
        <f>IF(ISBLANK(Output!B98),"",Output!B98)</f>
        <v/>
      </c>
      <c r="C99" s="9" t="str">
        <f>IF(ISNUMBER(Output!C98),IF(Output!C98&gt;=12,IFERROR(ROUND(INT(Output!C98)/12,0)&amp;"'-"&amp;INT(ROUND((Output!C98/12-INT(Output!C98/12))*12,2))&amp;" "&amp;IF(MROUND(ROUND((Output!C98/12-INT(Output!C98/12))*12,3)-INT(ROUND((Output!C98/12-INT(Output!C98/12))*12,3)),1/8)=0,"",VLOOKUP(MROUND((Output!C98/12-INT(Output!C98/12))*12-INT((Output!C98/12-INT(Output!C98/12))*12),1/8),fract[],2,FALSE))&amp;"''",""),IFERROR(INT(Output!C98)&amp;" "&amp;IF(MROUND((Output!C98-INT(Output!C98)),1/8)=0,"",VLOOKUP(MROUND((Output!C98-INT(Output!C98)),1/8),fract[],2,FALSE))&amp;"''","")),"")</f>
        <v/>
      </c>
      <c r="D99" s="9" t="str">
        <f>IF(ISNUMBER(Output!D98),IFERROR(ROUND(INT(Output!D98/12),3)&amp;"'-"&amp;INT(ROUND((Output!D98/12-INT(Output!D98/12))*12,3))&amp;" "&amp;IF(MROUND(ROUND((Output!D98/12-INT(Output!D98/12))*12,3)-INT(ROUND((Output!D98/12-INT(Output!D98/12))*12,3)),1/8)=0,"",VLOOKUP(MROUND((Output!D98/12-INT(Output!D98/12))*12-INT((Output!D98/12-INT(Output!D98/12))*12),1/8),fract[],2,FALSE))&amp;"''",""),"")</f>
        <v/>
      </c>
      <c r="E99" s="9" t="str">
        <f>IF(ISNUMBER(Output!E98),IF(Output!E98&gt;=12,IFERROR(ROUND(INT(Output!E98)/12,0)&amp;"'-"&amp;INT(ROUND((Output!E98/12-INT(Output!E98/12))*12,2))&amp;" "&amp;IF(MROUND(ROUND((Output!E98/12-INT(Output!E98/12))*12,3)-INT(ROUND((Output!E98/12-INT(Output!E98/12))*12,3)),1/8)=0,"",VLOOKUP(MROUND((Output!E98/12-INT(Output!E98/12))*12-INT((Output!E98/12-INT(Output!E98/12))*12),1/8),fract[],2,FALSE))&amp;"''",""),IFERROR(INT(Output!E98)&amp;" "&amp;IF(MROUND((Output!E98-INT(Output!E98)),1/8)=0,"",VLOOKUP(MROUND((Output!E98-INT(Output!E98)),1/8),fract[],2,FALSE))&amp;"''","")),"")</f>
        <v/>
      </c>
      <c r="F99" s="8"/>
      <c r="G99" s="8"/>
      <c r="H99" s="9" t="str">
        <f t="shared" si="2"/>
        <v/>
      </c>
      <c r="I99" s="9" t="str">
        <f t="shared" si="3"/>
        <v/>
      </c>
      <c r="J99" s="12" t="str">
        <f>IF(ISNUMBER(Output!F98),Output!F98,"")</f>
        <v/>
      </c>
      <c r="K99" s="12" t="str">
        <f>IF(ISNUMBER(Output!G98),Output!G98,"")</f>
        <v/>
      </c>
    </row>
    <row r="100" spans="1:11" ht="18" customHeight="1" x14ac:dyDescent="0.25">
      <c r="A100" s="9" t="str">
        <f>IF(ISBLANK(Output!A99),"",Output!A99)</f>
        <v/>
      </c>
      <c r="B100" s="9" t="str">
        <f>IF(ISBLANK(Output!B99),"",Output!B99)</f>
        <v/>
      </c>
      <c r="C100" s="9" t="str">
        <f>IF(ISNUMBER(Output!C99),IF(Output!C99&gt;=12,IFERROR(ROUND(INT(Output!C99)/12,0)&amp;"'-"&amp;INT(ROUND((Output!C99/12-INT(Output!C99/12))*12,2))&amp;" "&amp;IF(MROUND(ROUND((Output!C99/12-INT(Output!C99/12))*12,3)-INT(ROUND((Output!C99/12-INT(Output!C99/12))*12,3)),1/8)=0,"",VLOOKUP(MROUND((Output!C99/12-INT(Output!C99/12))*12-INT((Output!C99/12-INT(Output!C99/12))*12),1/8),fract[],2,FALSE))&amp;"''",""),IFERROR(INT(Output!C99)&amp;" "&amp;IF(MROUND((Output!C99-INT(Output!C99)),1/8)=0,"",VLOOKUP(MROUND((Output!C99-INT(Output!C99)),1/8),fract[],2,FALSE))&amp;"''","")),"")</f>
        <v/>
      </c>
      <c r="D100" s="9" t="str">
        <f>IF(ISNUMBER(Output!D99),IFERROR(ROUND(INT(Output!D99/12),3)&amp;"'-"&amp;INT(ROUND((Output!D99/12-INT(Output!D99/12))*12,3))&amp;" "&amp;IF(MROUND(ROUND((Output!D99/12-INT(Output!D99/12))*12,3)-INT(ROUND((Output!D99/12-INT(Output!D99/12))*12,3)),1/8)=0,"",VLOOKUP(MROUND((Output!D99/12-INT(Output!D99/12))*12-INT((Output!D99/12-INT(Output!D99/12))*12),1/8),fract[],2,FALSE))&amp;"''",""),"")</f>
        <v/>
      </c>
      <c r="E100" s="9" t="str">
        <f>IF(ISNUMBER(Output!E99),IF(Output!E99&gt;=12,IFERROR(ROUND(INT(Output!E99)/12,0)&amp;"'-"&amp;INT(ROUND((Output!E99/12-INT(Output!E99/12))*12,2))&amp;" "&amp;IF(MROUND(ROUND((Output!E99/12-INT(Output!E99/12))*12,3)-INT(ROUND((Output!E99/12-INT(Output!E99/12))*12,3)),1/8)=0,"",VLOOKUP(MROUND((Output!E99/12-INT(Output!E99/12))*12-INT((Output!E99/12-INT(Output!E99/12))*12),1/8),fract[],2,FALSE))&amp;"''",""),IFERROR(INT(Output!E99)&amp;" "&amp;IF(MROUND((Output!E99-INT(Output!E99)),1/8)=0,"",VLOOKUP(MROUND((Output!E99-INT(Output!E99)),1/8),fract[],2,FALSE))&amp;"''","")),"")</f>
        <v/>
      </c>
      <c r="F100" s="8"/>
      <c r="G100" s="8"/>
      <c r="H100" s="9" t="str">
        <f t="shared" si="2"/>
        <v/>
      </c>
      <c r="I100" s="9" t="str">
        <f t="shared" si="3"/>
        <v/>
      </c>
      <c r="J100" s="12" t="str">
        <f>IF(ISNUMBER(Output!F99),Output!F99,"")</f>
        <v/>
      </c>
      <c r="K100" s="12" t="str">
        <f>IF(ISNUMBER(Output!G99),Output!G99,"")</f>
        <v/>
      </c>
    </row>
    <row r="101" spans="1:11" ht="18" customHeight="1" x14ac:dyDescent="0.25">
      <c r="A101" s="9" t="str">
        <f>IF(ISBLANK(Output!A100),"",Output!A100)</f>
        <v/>
      </c>
      <c r="B101" s="9" t="str">
        <f>IF(ISBLANK(Output!B100),"",Output!B100)</f>
        <v/>
      </c>
      <c r="C101" s="9" t="str">
        <f>IF(ISNUMBER(Output!C100),IF(Output!C100&gt;=12,IFERROR(ROUND(INT(Output!C100)/12,0)&amp;"'-"&amp;INT(ROUND((Output!C100/12-INT(Output!C100/12))*12,2))&amp;" "&amp;IF(MROUND(ROUND((Output!C100/12-INT(Output!C100/12))*12,3)-INT(ROUND((Output!C100/12-INT(Output!C100/12))*12,3)),1/8)=0,"",VLOOKUP(MROUND((Output!C100/12-INT(Output!C100/12))*12-INT((Output!C100/12-INT(Output!C100/12))*12),1/8),fract[],2,FALSE))&amp;"''",""),IFERROR(INT(Output!C100)&amp;" "&amp;IF(MROUND((Output!C100-INT(Output!C100)),1/8)=0,"",VLOOKUP(MROUND((Output!C100-INT(Output!C100)),1/8),fract[],2,FALSE))&amp;"''","")),"")</f>
        <v/>
      </c>
      <c r="D101" s="9" t="str">
        <f>IF(ISNUMBER(Output!D100),IFERROR(ROUND(INT(Output!D100/12),3)&amp;"'-"&amp;INT(ROUND((Output!D100/12-INT(Output!D100/12))*12,3))&amp;" "&amp;IF(MROUND(ROUND((Output!D100/12-INT(Output!D100/12))*12,3)-INT(ROUND((Output!D100/12-INT(Output!D100/12))*12,3)),1/8)=0,"",VLOOKUP(MROUND((Output!D100/12-INT(Output!D100/12))*12-INT((Output!D100/12-INT(Output!D100/12))*12),1/8),fract[],2,FALSE))&amp;"''",""),"")</f>
        <v/>
      </c>
      <c r="E101" s="9" t="str">
        <f>IF(ISNUMBER(Output!E100),IF(Output!E100&gt;=12,IFERROR(ROUND(INT(Output!E100)/12,0)&amp;"'-"&amp;INT(ROUND((Output!E100/12-INT(Output!E100/12))*12,2))&amp;" "&amp;IF(MROUND(ROUND((Output!E100/12-INT(Output!E100/12))*12,3)-INT(ROUND((Output!E100/12-INT(Output!E100/12))*12,3)),1/8)=0,"",VLOOKUP(MROUND((Output!E100/12-INT(Output!E100/12))*12-INT((Output!E100/12-INT(Output!E100/12))*12),1/8),fract[],2,FALSE))&amp;"''",""),IFERROR(INT(Output!E100)&amp;" "&amp;IF(MROUND((Output!E100-INT(Output!E100)),1/8)=0,"",VLOOKUP(MROUND((Output!E100-INT(Output!E100)),1/8),fract[],2,FALSE))&amp;"''","")),"")</f>
        <v/>
      </c>
      <c r="F101" s="8"/>
      <c r="G101" s="8"/>
      <c r="H101" s="9" t="str">
        <f t="shared" si="2"/>
        <v/>
      </c>
      <c r="I101" s="9" t="str">
        <f t="shared" si="3"/>
        <v/>
      </c>
      <c r="J101" s="12" t="str">
        <f>IF(ISNUMBER(Output!F100),Output!F100,"")</f>
        <v/>
      </c>
      <c r="K101" s="12" t="str">
        <f>IF(ISNUMBER(Output!G100),Output!G100,"")</f>
        <v/>
      </c>
    </row>
    <row r="102" spans="1:11" ht="18" customHeight="1" x14ac:dyDescent="0.25">
      <c r="A102" s="9" t="str">
        <f>IF(ISBLANK(Output!A101),"",Output!A101)</f>
        <v/>
      </c>
      <c r="B102" s="9" t="str">
        <f>IF(ISBLANK(Output!B101),"",Output!B101)</f>
        <v/>
      </c>
      <c r="C102" s="9" t="str">
        <f>IF(ISNUMBER(Output!C101),IF(Output!C101&gt;=12,IFERROR(ROUND(INT(Output!C101)/12,0)&amp;"'-"&amp;INT(ROUND((Output!C101/12-INT(Output!C101/12))*12,2))&amp;" "&amp;IF(MROUND(ROUND((Output!C101/12-INT(Output!C101/12))*12,3)-INT(ROUND((Output!C101/12-INT(Output!C101/12))*12,3)),1/8)=0,"",VLOOKUP(MROUND((Output!C101/12-INT(Output!C101/12))*12-INT((Output!C101/12-INT(Output!C101/12))*12),1/8),fract[],2,FALSE))&amp;"''",""),IFERROR(INT(Output!C101)&amp;" "&amp;IF(MROUND((Output!C101-INT(Output!C101)),1/8)=0,"",VLOOKUP(MROUND((Output!C101-INT(Output!C101)),1/8),fract[],2,FALSE))&amp;"''","")),"")</f>
        <v/>
      </c>
      <c r="D102" s="9" t="str">
        <f>IF(ISNUMBER(Output!D101),IFERROR(ROUND(INT(Output!D101/12),3)&amp;"'-"&amp;INT(ROUND((Output!D101/12-INT(Output!D101/12))*12,3))&amp;" "&amp;IF(MROUND(ROUND((Output!D101/12-INT(Output!D101/12))*12,3)-INT(ROUND((Output!D101/12-INT(Output!D101/12))*12,3)),1/8)=0,"",VLOOKUP(MROUND((Output!D101/12-INT(Output!D101/12))*12-INT((Output!D101/12-INT(Output!D101/12))*12),1/8),fract[],2,FALSE))&amp;"''",""),"")</f>
        <v/>
      </c>
      <c r="E102" s="9" t="str">
        <f>IF(ISNUMBER(Output!E101),IF(Output!E101&gt;=12,IFERROR(ROUND(INT(Output!E101)/12,0)&amp;"'-"&amp;INT(ROUND((Output!E101/12-INT(Output!E101/12))*12,2))&amp;" "&amp;IF(MROUND(ROUND((Output!E101/12-INT(Output!E101/12))*12,3)-INT(ROUND((Output!E101/12-INT(Output!E101/12))*12,3)),1/8)=0,"",VLOOKUP(MROUND((Output!E101/12-INT(Output!E101/12))*12-INT((Output!E101/12-INT(Output!E101/12))*12),1/8),fract[],2,FALSE))&amp;"''",""),IFERROR(INT(Output!E101)&amp;" "&amp;IF(MROUND((Output!E101-INT(Output!E101)),1/8)=0,"",VLOOKUP(MROUND((Output!E101-INT(Output!E101)),1/8),fract[],2,FALSE))&amp;"''","")),"")</f>
        <v/>
      </c>
      <c r="F102" s="8"/>
      <c r="G102" s="8"/>
      <c r="H102" s="9" t="str">
        <f t="shared" si="2"/>
        <v/>
      </c>
      <c r="I102" s="9" t="str">
        <f t="shared" si="3"/>
        <v/>
      </c>
      <c r="J102" s="12" t="str">
        <f>IF(ISNUMBER(Output!F101),Output!F101,"")</f>
        <v/>
      </c>
      <c r="K102" s="12" t="str">
        <f>IF(ISNUMBER(Output!G101),Output!G101,"")</f>
        <v/>
      </c>
    </row>
    <row r="103" spans="1:11" ht="18" customHeight="1" x14ac:dyDescent="0.25">
      <c r="A103" s="9" t="str">
        <f>IF(ISBLANK(Output!A102),"",Output!A102)</f>
        <v/>
      </c>
      <c r="B103" s="9" t="str">
        <f>IF(ISBLANK(Output!B102),"",Output!B102)</f>
        <v/>
      </c>
      <c r="C103" s="9" t="str">
        <f>IF(ISNUMBER(Output!C102),IF(Output!C102&gt;=12,IFERROR(ROUND(INT(Output!C102)/12,0)&amp;"'-"&amp;INT(ROUND((Output!C102/12-INT(Output!C102/12))*12,2))&amp;" "&amp;IF(MROUND(ROUND((Output!C102/12-INT(Output!C102/12))*12,3)-INT(ROUND((Output!C102/12-INT(Output!C102/12))*12,3)),1/8)=0,"",VLOOKUP(MROUND((Output!C102/12-INT(Output!C102/12))*12-INT((Output!C102/12-INT(Output!C102/12))*12),1/8),fract[],2,FALSE))&amp;"''",""),IFERROR(INT(Output!C102)&amp;" "&amp;IF(MROUND((Output!C102-INT(Output!C102)),1/8)=0,"",VLOOKUP(MROUND((Output!C102-INT(Output!C102)),1/8),fract[],2,FALSE))&amp;"''","")),"")</f>
        <v/>
      </c>
      <c r="D103" s="9" t="str">
        <f>IF(ISNUMBER(Output!D102),IFERROR(ROUND(INT(Output!D102/12),3)&amp;"'-"&amp;INT(ROUND((Output!D102/12-INT(Output!D102/12))*12,3))&amp;" "&amp;IF(MROUND(ROUND((Output!D102/12-INT(Output!D102/12))*12,3)-INT(ROUND((Output!D102/12-INT(Output!D102/12))*12,3)),1/8)=0,"",VLOOKUP(MROUND((Output!D102/12-INT(Output!D102/12))*12-INT((Output!D102/12-INT(Output!D102/12))*12),1/8),fract[],2,FALSE))&amp;"''",""),"")</f>
        <v/>
      </c>
      <c r="E103" s="9" t="str">
        <f>IF(ISNUMBER(Output!E102),IF(Output!E102&gt;=12,IFERROR(ROUND(INT(Output!E102)/12,0)&amp;"'-"&amp;INT(ROUND((Output!E102/12-INT(Output!E102/12))*12,2))&amp;" "&amp;IF(MROUND(ROUND((Output!E102/12-INT(Output!E102/12))*12,3)-INT(ROUND((Output!E102/12-INT(Output!E102/12))*12,3)),1/8)=0,"",VLOOKUP(MROUND((Output!E102/12-INT(Output!E102/12))*12-INT((Output!E102/12-INT(Output!E102/12))*12),1/8),fract[],2,FALSE))&amp;"''",""),IFERROR(INT(Output!E102)&amp;" "&amp;IF(MROUND((Output!E102-INT(Output!E102)),1/8)=0,"",VLOOKUP(MROUND((Output!E102-INT(Output!E102)),1/8),fract[],2,FALSE))&amp;"''","")),"")</f>
        <v/>
      </c>
      <c r="F103" s="8"/>
      <c r="G103" s="8"/>
      <c r="H103" s="9" t="str">
        <f t="shared" si="2"/>
        <v/>
      </c>
      <c r="I103" s="9" t="str">
        <f t="shared" si="3"/>
        <v/>
      </c>
      <c r="J103" s="12" t="str">
        <f>IF(ISNUMBER(Output!F102),Output!F102,"")</f>
        <v/>
      </c>
      <c r="K103" s="12" t="str">
        <f>IF(ISNUMBER(Output!G102),Output!G102,"")</f>
        <v/>
      </c>
    </row>
    <row r="104" spans="1:11" ht="18" customHeight="1" x14ac:dyDescent="0.25">
      <c r="A104" s="9" t="str">
        <f>IF(ISBLANK(Output!A103),"",Output!A103)</f>
        <v/>
      </c>
      <c r="B104" s="9" t="str">
        <f>IF(ISBLANK(Output!B103),"",Output!B103)</f>
        <v/>
      </c>
      <c r="C104" s="9" t="str">
        <f>IF(ISNUMBER(Output!C103),IF(Output!C103&gt;=12,IFERROR(ROUND(INT(Output!C103)/12,0)&amp;"'-"&amp;INT(ROUND((Output!C103/12-INT(Output!C103/12))*12,2))&amp;" "&amp;IF(MROUND(ROUND((Output!C103/12-INT(Output!C103/12))*12,3)-INT(ROUND((Output!C103/12-INT(Output!C103/12))*12,3)),1/8)=0,"",VLOOKUP(MROUND((Output!C103/12-INT(Output!C103/12))*12-INT((Output!C103/12-INT(Output!C103/12))*12),1/8),fract[],2,FALSE))&amp;"''",""),IFERROR(INT(Output!C103)&amp;" "&amp;IF(MROUND((Output!C103-INT(Output!C103)),1/8)=0,"",VLOOKUP(MROUND((Output!C103-INT(Output!C103)),1/8),fract[],2,FALSE))&amp;"''","")),"")</f>
        <v/>
      </c>
      <c r="D104" s="9" t="str">
        <f>IF(ISNUMBER(Output!D103),IFERROR(ROUND(INT(Output!D103/12),3)&amp;"'-"&amp;INT(ROUND((Output!D103/12-INT(Output!D103/12))*12,3))&amp;" "&amp;IF(MROUND(ROUND((Output!D103/12-INT(Output!D103/12))*12,3)-INT(ROUND((Output!D103/12-INT(Output!D103/12))*12,3)),1/8)=0,"",VLOOKUP(MROUND((Output!D103/12-INT(Output!D103/12))*12-INT((Output!D103/12-INT(Output!D103/12))*12),1/8),fract[],2,FALSE))&amp;"''",""),"")</f>
        <v/>
      </c>
      <c r="E104" s="9" t="str">
        <f>IF(ISNUMBER(Output!E103),IF(Output!E103&gt;=12,IFERROR(ROUND(INT(Output!E103)/12,0)&amp;"'-"&amp;INT(ROUND((Output!E103/12-INT(Output!E103/12))*12,2))&amp;" "&amp;IF(MROUND(ROUND((Output!E103/12-INT(Output!E103/12))*12,3)-INT(ROUND((Output!E103/12-INT(Output!E103/12))*12,3)),1/8)=0,"",VLOOKUP(MROUND((Output!E103/12-INT(Output!E103/12))*12-INT((Output!E103/12-INT(Output!E103/12))*12),1/8),fract[],2,FALSE))&amp;"''",""),IFERROR(INT(Output!E103)&amp;" "&amp;IF(MROUND((Output!E103-INT(Output!E103)),1/8)=0,"",VLOOKUP(MROUND((Output!E103-INT(Output!E103)),1/8),fract[],2,FALSE))&amp;"''","")),"")</f>
        <v/>
      </c>
      <c r="F104" s="8"/>
      <c r="G104" s="8"/>
      <c r="H104" s="9" t="str">
        <f t="shared" si="2"/>
        <v/>
      </c>
      <c r="I104" s="9" t="str">
        <f t="shared" si="3"/>
        <v/>
      </c>
      <c r="J104" s="12" t="str">
        <f>IF(ISNUMBER(Output!F103),Output!F103,"")</f>
        <v/>
      </c>
      <c r="K104" s="12" t="str">
        <f>IF(ISNUMBER(Output!G103),Output!G103,"")</f>
        <v/>
      </c>
    </row>
    <row r="105" spans="1:11" ht="18" customHeight="1" x14ac:dyDescent="0.25">
      <c r="A105" s="9" t="str">
        <f>IF(ISBLANK(Output!A104),"",Output!A104)</f>
        <v/>
      </c>
      <c r="B105" s="9" t="str">
        <f>IF(ISBLANK(Output!B104),"",Output!B104)</f>
        <v/>
      </c>
      <c r="C105" s="9" t="str">
        <f>IF(ISNUMBER(Output!C104),IF(Output!C104&gt;=12,IFERROR(ROUND(INT(Output!C104)/12,0)&amp;"'-"&amp;INT(ROUND((Output!C104/12-INT(Output!C104/12))*12,2))&amp;" "&amp;IF(MROUND(ROUND((Output!C104/12-INT(Output!C104/12))*12,3)-INT(ROUND((Output!C104/12-INT(Output!C104/12))*12,3)),1/8)=0,"",VLOOKUP(MROUND((Output!C104/12-INT(Output!C104/12))*12-INT((Output!C104/12-INT(Output!C104/12))*12),1/8),fract[],2,FALSE))&amp;"''",""),IFERROR(INT(Output!C104)&amp;" "&amp;IF(MROUND((Output!C104-INT(Output!C104)),1/8)=0,"",VLOOKUP(MROUND((Output!C104-INT(Output!C104)),1/8),fract[],2,FALSE))&amp;"''","")),"")</f>
        <v/>
      </c>
      <c r="D105" s="9" t="str">
        <f>IF(ISNUMBER(Output!D104),IFERROR(ROUND(INT(Output!D104/12),3)&amp;"'-"&amp;INT(ROUND((Output!D104/12-INT(Output!D104/12))*12,3))&amp;" "&amp;IF(MROUND(ROUND((Output!D104/12-INT(Output!D104/12))*12,3)-INT(ROUND((Output!D104/12-INT(Output!D104/12))*12,3)),1/8)=0,"",VLOOKUP(MROUND((Output!D104/12-INT(Output!D104/12))*12-INT((Output!D104/12-INT(Output!D104/12))*12),1/8),fract[],2,FALSE))&amp;"''",""),"")</f>
        <v/>
      </c>
      <c r="E105" s="9" t="str">
        <f>IF(ISNUMBER(Output!E104),IF(Output!E104&gt;=12,IFERROR(ROUND(INT(Output!E104)/12,0)&amp;"'-"&amp;INT(ROUND((Output!E104/12-INT(Output!E104/12))*12,2))&amp;" "&amp;IF(MROUND(ROUND((Output!E104/12-INT(Output!E104/12))*12,3)-INT(ROUND((Output!E104/12-INT(Output!E104/12))*12,3)),1/8)=0,"",VLOOKUP(MROUND((Output!E104/12-INT(Output!E104/12))*12-INT((Output!E104/12-INT(Output!E104/12))*12),1/8),fract[],2,FALSE))&amp;"''",""),IFERROR(INT(Output!E104)&amp;" "&amp;IF(MROUND((Output!E104-INT(Output!E104)),1/8)=0,"",VLOOKUP(MROUND((Output!E104-INT(Output!E104)),1/8),fract[],2,FALSE))&amp;"''","")),"")</f>
        <v/>
      </c>
      <c r="F105" s="8"/>
      <c r="G105" s="8"/>
      <c r="H105" s="9" t="str">
        <f t="shared" si="2"/>
        <v/>
      </c>
      <c r="I105" s="9" t="str">
        <f t="shared" si="3"/>
        <v/>
      </c>
      <c r="J105" s="12" t="str">
        <f>IF(ISNUMBER(Output!F104),Output!F104,"")</f>
        <v/>
      </c>
      <c r="K105" s="12" t="str">
        <f>IF(ISNUMBER(Output!G104),Output!G104,"")</f>
        <v/>
      </c>
    </row>
    <row r="106" spans="1:11" ht="18" customHeight="1" x14ac:dyDescent="0.25">
      <c r="A106" s="9" t="str">
        <f>IF(ISBLANK(Output!A105),"",Output!A105)</f>
        <v/>
      </c>
      <c r="B106" s="9" t="str">
        <f>IF(ISBLANK(Output!B105),"",Output!B105)</f>
        <v/>
      </c>
      <c r="C106" s="9" t="str">
        <f>IF(ISNUMBER(Output!C105),IF(Output!C105&gt;=12,IFERROR(ROUND(INT(Output!C105)/12,0)&amp;"'-"&amp;INT(ROUND((Output!C105/12-INT(Output!C105/12))*12,2))&amp;" "&amp;IF(MROUND(ROUND((Output!C105/12-INT(Output!C105/12))*12,3)-INT(ROUND((Output!C105/12-INT(Output!C105/12))*12,3)),1/8)=0,"",VLOOKUP(MROUND((Output!C105/12-INT(Output!C105/12))*12-INT((Output!C105/12-INT(Output!C105/12))*12),1/8),fract[],2,FALSE))&amp;"''",""),IFERROR(INT(Output!C105)&amp;" "&amp;IF(MROUND((Output!C105-INT(Output!C105)),1/8)=0,"",VLOOKUP(MROUND((Output!C105-INT(Output!C105)),1/8),fract[],2,FALSE))&amp;"''","")),"")</f>
        <v/>
      </c>
      <c r="D106" s="9" t="str">
        <f>IF(ISNUMBER(Output!D105),IFERROR(ROUND(INT(Output!D105/12),3)&amp;"'-"&amp;INT(ROUND((Output!D105/12-INT(Output!D105/12))*12,3))&amp;" "&amp;IF(MROUND(ROUND((Output!D105/12-INT(Output!D105/12))*12,3)-INT(ROUND((Output!D105/12-INT(Output!D105/12))*12,3)),1/8)=0,"",VLOOKUP(MROUND((Output!D105/12-INT(Output!D105/12))*12-INT((Output!D105/12-INT(Output!D105/12))*12),1/8),fract[],2,FALSE))&amp;"''",""),"")</f>
        <v/>
      </c>
      <c r="E106" s="9" t="str">
        <f>IF(ISNUMBER(Output!E105),IF(Output!E105&gt;=12,IFERROR(ROUND(INT(Output!E105)/12,0)&amp;"'-"&amp;INT(ROUND((Output!E105/12-INT(Output!E105/12))*12,2))&amp;" "&amp;IF(MROUND(ROUND((Output!E105/12-INT(Output!E105/12))*12,3)-INT(ROUND((Output!E105/12-INT(Output!E105/12))*12,3)),1/8)=0,"",VLOOKUP(MROUND((Output!E105/12-INT(Output!E105/12))*12-INT((Output!E105/12-INT(Output!E105/12))*12),1/8),fract[],2,FALSE))&amp;"''",""),IFERROR(INT(Output!E105)&amp;" "&amp;IF(MROUND((Output!E105-INT(Output!E105)),1/8)=0,"",VLOOKUP(MROUND((Output!E105-INT(Output!E105)),1/8),fract[],2,FALSE))&amp;"''","")),"")</f>
        <v/>
      </c>
      <c r="F106" s="8"/>
      <c r="G106" s="8"/>
      <c r="H106" s="9" t="str">
        <f t="shared" si="2"/>
        <v/>
      </c>
      <c r="I106" s="9" t="str">
        <f t="shared" si="3"/>
        <v/>
      </c>
      <c r="J106" s="12" t="str">
        <f>IF(ISNUMBER(Output!F105),Output!F105,"")</f>
        <v/>
      </c>
      <c r="K106" s="12" t="str">
        <f>IF(ISNUMBER(Output!G105),Output!G105,"")</f>
        <v/>
      </c>
    </row>
    <row r="107" spans="1:11" ht="18" customHeight="1" x14ac:dyDescent="0.25">
      <c r="A107" s="9" t="str">
        <f>IF(ISBLANK(Output!A106),"",Output!A106)</f>
        <v/>
      </c>
      <c r="B107" s="9" t="str">
        <f>IF(ISBLANK(Output!B106),"",Output!B106)</f>
        <v/>
      </c>
      <c r="C107" s="9" t="str">
        <f>IF(ISNUMBER(Output!C106),IF(Output!C106&gt;=12,IFERROR(ROUND(INT(Output!C106)/12,0)&amp;"'-"&amp;INT(ROUND((Output!C106/12-INT(Output!C106/12))*12,2))&amp;" "&amp;IF(MROUND(ROUND((Output!C106/12-INT(Output!C106/12))*12,3)-INT(ROUND((Output!C106/12-INT(Output!C106/12))*12,3)),1/8)=0,"",VLOOKUP(MROUND((Output!C106/12-INT(Output!C106/12))*12-INT((Output!C106/12-INT(Output!C106/12))*12),1/8),fract[],2,FALSE))&amp;"''",""),IFERROR(INT(Output!C106)&amp;" "&amp;IF(MROUND((Output!C106-INT(Output!C106)),1/8)=0,"",VLOOKUP(MROUND((Output!C106-INT(Output!C106)),1/8),fract[],2,FALSE))&amp;"''","")),"")</f>
        <v/>
      </c>
      <c r="D107" s="9" t="str">
        <f>IF(ISNUMBER(Output!D106),IFERROR(ROUND(INT(Output!D106/12),3)&amp;"'-"&amp;INT(ROUND((Output!D106/12-INT(Output!D106/12))*12,3))&amp;" "&amp;IF(MROUND(ROUND((Output!D106/12-INT(Output!D106/12))*12,3)-INT(ROUND((Output!D106/12-INT(Output!D106/12))*12,3)),1/8)=0,"",VLOOKUP(MROUND((Output!D106/12-INT(Output!D106/12))*12-INT((Output!D106/12-INT(Output!D106/12))*12),1/8),fract[],2,FALSE))&amp;"''",""),"")</f>
        <v/>
      </c>
      <c r="E107" s="9" t="str">
        <f>IF(ISNUMBER(Output!E106),IF(Output!E106&gt;=12,IFERROR(ROUND(INT(Output!E106)/12,0)&amp;"'-"&amp;INT(ROUND((Output!E106/12-INT(Output!E106/12))*12,2))&amp;" "&amp;IF(MROUND(ROUND((Output!E106/12-INT(Output!E106/12))*12,3)-INT(ROUND((Output!E106/12-INT(Output!E106/12))*12,3)),1/8)=0,"",VLOOKUP(MROUND((Output!E106/12-INT(Output!E106/12))*12-INT((Output!E106/12-INT(Output!E106/12))*12),1/8),fract[],2,FALSE))&amp;"''",""),IFERROR(INT(Output!E106)&amp;" "&amp;IF(MROUND((Output!E106-INT(Output!E106)),1/8)=0,"",VLOOKUP(MROUND((Output!E106-INT(Output!E106)),1/8),fract[],2,FALSE))&amp;"''","")),"")</f>
        <v/>
      </c>
      <c r="F107" s="8"/>
      <c r="G107" s="8"/>
      <c r="H107" s="9" t="str">
        <f t="shared" si="2"/>
        <v/>
      </c>
      <c r="I107" s="9" t="str">
        <f t="shared" si="3"/>
        <v/>
      </c>
      <c r="J107" s="12" t="str">
        <f>IF(ISNUMBER(Output!F106),Output!F106,"")</f>
        <v/>
      </c>
      <c r="K107" s="12" t="str">
        <f>IF(ISNUMBER(Output!G106),Output!G106,"")</f>
        <v/>
      </c>
    </row>
    <row r="108" spans="1:11" ht="18" customHeight="1" x14ac:dyDescent="0.25">
      <c r="A108" s="9" t="str">
        <f>IF(ISBLANK(Output!A107),"",Output!A107)</f>
        <v/>
      </c>
      <c r="B108" s="9" t="str">
        <f>IF(ISBLANK(Output!B107),"",Output!B107)</f>
        <v/>
      </c>
      <c r="C108" s="9" t="str">
        <f>IF(ISNUMBER(Output!C107),IF(Output!C107&gt;=12,IFERROR(ROUND(INT(Output!C107)/12,0)&amp;"'-"&amp;INT(ROUND((Output!C107/12-INT(Output!C107/12))*12,2))&amp;" "&amp;IF(MROUND(ROUND((Output!C107/12-INT(Output!C107/12))*12,3)-INT(ROUND((Output!C107/12-INT(Output!C107/12))*12,3)),1/8)=0,"",VLOOKUP(MROUND((Output!C107/12-INT(Output!C107/12))*12-INT((Output!C107/12-INT(Output!C107/12))*12),1/8),fract[],2,FALSE))&amp;"''",""),IFERROR(INT(Output!C107)&amp;" "&amp;IF(MROUND((Output!C107-INT(Output!C107)),1/8)=0,"",VLOOKUP(MROUND((Output!C107-INT(Output!C107)),1/8),fract[],2,FALSE))&amp;"''","")),"")</f>
        <v/>
      </c>
      <c r="D108" s="9" t="str">
        <f>IF(ISNUMBER(Output!D107),IFERROR(ROUND(INT(Output!D107/12),3)&amp;"'-"&amp;INT(ROUND((Output!D107/12-INT(Output!D107/12))*12,3))&amp;" "&amp;IF(MROUND(ROUND((Output!D107/12-INT(Output!D107/12))*12,3)-INT(ROUND((Output!D107/12-INT(Output!D107/12))*12,3)),1/8)=0,"",VLOOKUP(MROUND((Output!D107/12-INT(Output!D107/12))*12-INT((Output!D107/12-INT(Output!D107/12))*12),1/8),fract[],2,FALSE))&amp;"''",""),"")</f>
        <v/>
      </c>
      <c r="E108" s="9" t="str">
        <f>IF(ISNUMBER(Output!E107),IF(Output!E107&gt;=12,IFERROR(ROUND(INT(Output!E107)/12,0)&amp;"'-"&amp;INT(ROUND((Output!E107/12-INT(Output!E107/12))*12,2))&amp;" "&amp;IF(MROUND(ROUND((Output!E107/12-INT(Output!E107/12))*12,3)-INT(ROUND((Output!E107/12-INT(Output!E107/12))*12,3)),1/8)=0,"",VLOOKUP(MROUND((Output!E107/12-INT(Output!E107/12))*12-INT((Output!E107/12-INT(Output!E107/12))*12),1/8),fract[],2,FALSE))&amp;"''",""),IFERROR(INT(Output!E107)&amp;" "&amp;IF(MROUND((Output!E107-INT(Output!E107)),1/8)=0,"",VLOOKUP(MROUND((Output!E107-INT(Output!E107)),1/8),fract[],2,FALSE))&amp;"''","")),"")</f>
        <v/>
      </c>
      <c r="F108" s="8"/>
      <c r="G108" s="8"/>
      <c r="H108" s="9" t="str">
        <f t="shared" si="2"/>
        <v/>
      </c>
      <c r="I108" s="9" t="str">
        <f t="shared" si="3"/>
        <v/>
      </c>
      <c r="J108" s="12" t="str">
        <f>IF(ISNUMBER(Output!F107),Output!F107,"")</f>
        <v/>
      </c>
      <c r="K108" s="12" t="str">
        <f>IF(ISNUMBER(Output!G107),Output!G107,"")</f>
        <v/>
      </c>
    </row>
    <row r="109" spans="1:11" ht="18" customHeight="1" x14ac:dyDescent="0.25">
      <c r="A109" s="9" t="str">
        <f>IF(ISBLANK(Output!A108),"",Output!A108)</f>
        <v/>
      </c>
      <c r="B109" s="9" t="str">
        <f>IF(ISBLANK(Output!B108),"",Output!B108)</f>
        <v/>
      </c>
      <c r="C109" s="9" t="str">
        <f>IF(ISNUMBER(Output!C108),IF(Output!C108&gt;=12,IFERROR(ROUND(INT(Output!C108)/12,0)&amp;"'-"&amp;INT(ROUND((Output!C108/12-INT(Output!C108/12))*12,2))&amp;" "&amp;IF(MROUND(ROUND((Output!C108/12-INT(Output!C108/12))*12,3)-INT(ROUND((Output!C108/12-INT(Output!C108/12))*12,3)),1/8)=0,"",VLOOKUP(MROUND((Output!C108/12-INT(Output!C108/12))*12-INT((Output!C108/12-INT(Output!C108/12))*12),1/8),fract[],2,FALSE))&amp;"''",""),IFERROR(INT(Output!C108)&amp;" "&amp;IF(MROUND((Output!C108-INT(Output!C108)),1/8)=0,"",VLOOKUP(MROUND((Output!C108-INT(Output!C108)),1/8),fract[],2,FALSE))&amp;"''","")),"")</f>
        <v/>
      </c>
      <c r="D109" s="9" t="str">
        <f>IF(ISNUMBER(Output!D108),IFERROR(ROUND(INT(Output!D108/12),3)&amp;"'-"&amp;INT(ROUND((Output!D108/12-INT(Output!D108/12))*12,3))&amp;" "&amp;IF(MROUND(ROUND((Output!D108/12-INT(Output!D108/12))*12,3)-INT(ROUND((Output!D108/12-INT(Output!D108/12))*12,3)),1/8)=0,"",VLOOKUP(MROUND((Output!D108/12-INT(Output!D108/12))*12-INT((Output!D108/12-INT(Output!D108/12))*12),1/8),fract[],2,FALSE))&amp;"''",""),"")</f>
        <v/>
      </c>
      <c r="E109" s="9" t="str">
        <f>IF(ISNUMBER(Output!E108),IF(Output!E108&gt;=12,IFERROR(ROUND(INT(Output!E108)/12,0)&amp;"'-"&amp;INT(ROUND((Output!E108/12-INT(Output!E108/12))*12,2))&amp;" "&amp;IF(MROUND(ROUND((Output!E108/12-INT(Output!E108/12))*12,3)-INT(ROUND((Output!E108/12-INT(Output!E108/12))*12,3)),1/8)=0,"",VLOOKUP(MROUND((Output!E108/12-INT(Output!E108/12))*12-INT((Output!E108/12-INT(Output!E108/12))*12),1/8),fract[],2,FALSE))&amp;"''",""),IFERROR(INT(Output!E108)&amp;" "&amp;IF(MROUND((Output!E108-INT(Output!E108)),1/8)=0,"",VLOOKUP(MROUND((Output!E108-INT(Output!E108)),1/8),fract[],2,FALSE))&amp;"''","")),"")</f>
        <v/>
      </c>
      <c r="F109" s="8"/>
      <c r="G109" s="8"/>
      <c r="H109" s="9" t="str">
        <f t="shared" si="2"/>
        <v/>
      </c>
      <c r="I109" s="9" t="str">
        <f t="shared" si="3"/>
        <v/>
      </c>
      <c r="J109" s="12" t="str">
        <f>IF(ISNUMBER(Output!F108),Output!F108,"")</f>
        <v/>
      </c>
      <c r="K109" s="12" t="str">
        <f>IF(ISNUMBER(Output!G108),Output!G108,"")</f>
        <v/>
      </c>
    </row>
    <row r="110" spans="1:11" ht="18" customHeight="1" x14ac:dyDescent="0.25">
      <c r="A110" s="9" t="str">
        <f>IF(ISBLANK(Output!A109),"",Output!A109)</f>
        <v/>
      </c>
      <c r="B110" s="9" t="str">
        <f>IF(ISBLANK(Output!B109),"",Output!B109)</f>
        <v/>
      </c>
      <c r="C110" s="9" t="str">
        <f>IF(ISNUMBER(Output!C109),IF(Output!C109&gt;=12,IFERROR(ROUND(INT(Output!C109)/12,0)&amp;"'-"&amp;INT(ROUND((Output!C109/12-INT(Output!C109/12))*12,2))&amp;" "&amp;IF(MROUND(ROUND((Output!C109/12-INT(Output!C109/12))*12,3)-INT(ROUND((Output!C109/12-INT(Output!C109/12))*12,3)),1/8)=0,"",VLOOKUP(MROUND((Output!C109/12-INT(Output!C109/12))*12-INT((Output!C109/12-INT(Output!C109/12))*12),1/8),fract[],2,FALSE))&amp;"''",""),IFERROR(INT(Output!C109)&amp;" "&amp;IF(MROUND((Output!C109-INT(Output!C109)),1/8)=0,"",VLOOKUP(MROUND((Output!C109-INT(Output!C109)),1/8),fract[],2,FALSE))&amp;"''","")),"")</f>
        <v/>
      </c>
      <c r="D110" s="9" t="str">
        <f>IF(ISNUMBER(Output!D109),IFERROR(ROUND(INT(Output!D109/12),3)&amp;"'-"&amp;INT(ROUND((Output!D109/12-INT(Output!D109/12))*12,3))&amp;" "&amp;IF(MROUND(ROUND((Output!D109/12-INT(Output!D109/12))*12,3)-INT(ROUND((Output!D109/12-INT(Output!D109/12))*12,3)),1/8)=0,"",VLOOKUP(MROUND((Output!D109/12-INT(Output!D109/12))*12-INT((Output!D109/12-INT(Output!D109/12))*12),1/8),fract[],2,FALSE))&amp;"''",""),"")</f>
        <v/>
      </c>
      <c r="E110" s="9" t="str">
        <f>IF(ISNUMBER(Output!E109),IF(Output!E109&gt;=12,IFERROR(ROUND(INT(Output!E109)/12,0)&amp;"'-"&amp;INT(ROUND((Output!E109/12-INT(Output!E109/12))*12,2))&amp;" "&amp;IF(MROUND(ROUND((Output!E109/12-INT(Output!E109/12))*12,3)-INT(ROUND((Output!E109/12-INT(Output!E109/12))*12,3)),1/8)=0,"",VLOOKUP(MROUND((Output!E109/12-INT(Output!E109/12))*12-INT((Output!E109/12-INT(Output!E109/12))*12),1/8),fract[],2,FALSE))&amp;"''",""),IFERROR(INT(Output!E109)&amp;" "&amp;IF(MROUND((Output!E109-INT(Output!E109)),1/8)=0,"",VLOOKUP(MROUND((Output!E109-INT(Output!E109)),1/8),fract[],2,FALSE))&amp;"''","")),"")</f>
        <v/>
      </c>
      <c r="F110" s="8"/>
      <c r="G110" s="8"/>
      <c r="H110" s="9" t="str">
        <f t="shared" si="2"/>
        <v/>
      </c>
      <c r="I110" s="9" t="str">
        <f t="shared" si="3"/>
        <v/>
      </c>
      <c r="J110" s="12" t="str">
        <f>IF(ISNUMBER(Output!F109),Output!F109,"")</f>
        <v/>
      </c>
      <c r="K110" s="12" t="str">
        <f>IF(ISNUMBER(Output!G109),Output!G109,"")</f>
        <v/>
      </c>
    </row>
    <row r="111" spans="1:11" ht="18" customHeight="1" x14ac:dyDescent="0.25">
      <c r="A111" s="9" t="str">
        <f>IF(ISBLANK(Output!A110),"",Output!A110)</f>
        <v/>
      </c>
      <c r="B111" s="9" t="str">
        <f>IF(ISBLANK(Output!B110),"",Output!B110)</f>
        <v/>
      </c>
      <c r="C111" s="9" t="str">
        <f>IF(ISNUMBER(Output!C110),IF(Output!C110&gt;=12,IFERROR(ROUND(INT(Output!C110)/12,0)&amp;"'-"&amp;INT(ROUND((Output!C110/12-INT(Output!C110/12))*12,2))&amp;" "&amp;IF(MROUND(ROUND((Output!C110/12-INT(Output!C110/12))*12,3)-INT(ROUND((Output!C110/12-INT(Output!C110/12))*12,3)),1/8)=0,"",VLOOKUP(MROUND((Output!C110/12-INT(Output!C110/12))*12-INT((Output!C110/12-INT(Output!C110/12))*12),1/8),fract[],2,FALSE))&amp;"''",""),IFERROR(INT(Output!C110)&amp;" "&amp;IF(MROUND((Output!C110-INT(Output!C110)),1/8)=0,"",VLOOKUP(MROUND((Output!C110-INT(Output!C110)),1/8),fract[],2,FALSE))&amp;"''","")),"")</f>
        <v/>
      </c>
      <c r="D111" s="9" t="str">
        <f>IF(ISNUMBER(Output!D110),IFERROR(ROUND(INT(Output!D110/12),3)&amp;"'-"&amp;INT(ROUND((Output!D110/12-INT(Output!D110/12))*12,3))&amp;" "&amp;IF(MROUND(ROUND((Output!D110/12-INT(Output!D110/12))*12,3)-INT(ROUND((Output!D110/12-INT(Output!D110/12))*12,3)),1/8)=0,"",VLOOKUP(MROUND((Output!D110/12-INT(Output!D110/12))*12-INT((Output!D110/12-INT(Output!D110/12))*12),1/8),fract[],2,FALSE))&amp;"''",""),"")</f>
        <v/>
      </c>
      <c r="E111" s="9" t="str">
        <f>IF(ISNUMBER(Output!E110),IF(Output!E110&gt;=12,IFERROR(ROUND(INT(Output!E110)/12,0)&amp;"'-"&amp;INT(ROUND((Output!E110/12-INT(Output!E110/12))*12,2))&amp;" "&amp;IF(MROUND(ROUND((Output!E110/12-INT(Output!E110/12))*12,3)-INT(ROUND((Output!E110/12-INT(Output!E110/12))*12,3)),1/8)=0,"",VLOOKUP(MROUND((Output!E110/12-INT(Output!E110/12))*12-INT((Output!E110/12-INT(Output!E110/12))*12),1/8),fract[],2,FALSE))&amp;"''",""),IFERROR(INT(Output!E110)&amp;" "&amp;IF(MROUND((Output!E110-INT(Output!E110)),1/8)=0,"",VLOOKUP(MROUND((Output!E110-INT(Output!E110)),1/8),fract[],2,FALSE))&amp;"''","")),"")</f>
        <v/>
      </c>
      <c r="F111" s="8"/>
      <c r="G111" s="8"/>
      <c r="H111" s="9" t="str">
        <f t="shared" si="2"/>
        <v/>
      </c>
      <c r="I111" s="9" t="str">
        <f t="shared" si="3"/>
        <v/>
      </c>
      <c r="J111" s="12" t="str">
        <f>IF(ISNUMBER(Output!F110),Output!F110,"")</f>
        <v/>
      </c>
      <c r="K111" s="12" t="str">
        <f>IF(ISNUMBER(Output!G110),Output!G110,"")</f>
        <v/>
      </c>
    </row>
    <row r="112" spans="1:11" ht="18" customHeight="1" x14ac:dyDescent="0.25">
      <c r="A112" s="9" t="str">
        <f>IF(ISBLANK(Output!A111),"",Output!A111)</f>
        <v/>
      </c>
      <c r="B112" s="9" t="str">
        <f>IF(ISBLANK(Output!B111),"",Output!B111)</f>
        <v/>
      </c>
      <c r="C112" s="9" t="str">
        <f>IF(ISNUMBER(Output!C111),IF(Output!C111&gt;=12,IFERROR(ROUND(INT(Output!C111)/12,0)&amp;"'-"&amp;INT(ROUND((Output!C111/12-INT(Output!C111/12))*12,2))&amp;" "&amp;IF(MROUND(ROUND((Output!C111/12-INT(Output!C111/12))*12,3)-INT(ROUND((Output!C111/12-INT(Output!C111/12))*12,3)),1/8)=0,"",VLOOKUP(MROUND((Output!C111/12-INT(Output!C111/12))*12-INT((Output!C111/12-INT(Output!C111/12))*12),1/8),fract[],2,FALSE))&amp;"''",""),IFERROR(INT(Output!C111)&amp;" "&amp;IF(MROUND((Output!C111-INT(Output!C111)),1/8)=0,"",VLOOKUP(MROUND((Output!C111-INT(Output!C111)),1/8),fract[],2,FALSE))&amp;"''","")),"")</f>
        <v/>
      </c>
      <c r="D112" s="9" t="str">
        <f>IF(ISNUMBER(Output!D111),IFERROR(ROUND(INT(Output!D111/12),3)&amp;"'-"&amp;INT(ROUND((Output!D111/12-INT(Output!D111/12))*12,3))&amp;" "&amp;IF(MROUND(ROUND((Output!D111/12-INT(Output!D111/12))*12,3)-INT(ROUND((Output!D111/12-INT(Output!D111/12))*12,3)),1/8)=0,"",VLOOKUP(MROUND((Output!D111/12-INT(Output!D111/12))*12-INT((Output!D111/12-INT(Output!D111/12))*12),1/8),fract[],2,FALSE))&amp;"''",""),"")</f>
        <v/>
      </c>
      <c r="E112" s="9" t="str">
        <f>IF(ISNUMBER(Output!E111),IF(Output!E111&gt;=12,IFERROR(ROUND(INT(Output!E111)/12,0)&amp;"'-"&amp;INT(ROUND((Output!E111/12-INT(Output!E111/12))*12,2))&amp;" "&amp;IF(MROUND(ROUND((Output!E111/12-INT(Output!E111/12))*12,3)-INT(ROUND((Output!E111/12-INT(Output!E111/12))*12,3)),1/8)=0,"",VLOOKUP(MROUND((Output!E111/12-INT(Output!E111/12))*12-INT((Output!E111/12-INT(Output!E111/12))*12),1/8),fract[],2,FALSE))&amp;"''",""),IFERROR(INT(Output!E111)&amp;" "&amp;IF(MROUND((Output!E111-INT(Output!E111)),1/8)=0,"",VLOOKUP(MROUND((Output!E111-INT(Output!E111)),1/8),fract[],2,FALSE))&amp;"''","")),"")</f>
        <v/>
      </c>
      <c r="F112" s="8"/>
      <c r="G112" s="8"/>
      <c r="H112" s="9" t="str">
        <f t="shared" si="2"/>
        <v/>
      </c>
      <c r="I112" s="9" t="str">
        <f t="shared" si="3"/>
        <v/>
      </c>
      <c r="J112" s="12" t="str">
        <f>IF(ISNUMBER(Output!F111),Output!F111,"")</f>
        <v/>
      </c>
      <c r="K112" s="12" t="str">
        <f>IF(ISNUMBER(Output!G111),Output!G111,"")</f>
        <v/>
      </c>
    </row>
    <row r="113" spans="1:11" ht="18" customHeight="1" x14ac:dyDescent="0.25">
      <c r="A113" s="9" t="str">
        <f>IF(ISBLANK(Output!A112),"",Output!A112)</f>
        <v/>
      </c>
      <c r="B113" s="9" t="str">
        <f>IF(ISBLANK(Output!B112),"",Output!B112)</f>
        <v/>
      </c>
      <c r="C113" s="9" t="str">
        <f>IF(ISNUMBER(Output!C112),IF(Output!C112&gt;=12,IFERROR(ROUND(INT(Output!C112)/12,0)&amp;"'-"&amp;INT(ROUND((Output!C112/12-INT(Output!C112/12))*12,2))&amp;" "&amp;IF(MROUND(ROUND((Output!C112/12-INT(Output!C112/12))*12,3)-INT(ROUND((Output!C112/12-INT(Output!C112/12))*12,3)),1/8)=0,"",VLOOKUP(MROUND((Output!C112/12-INT(Output!C112/12))*12-INT((Output!C112/12-INT(Output!C112/12))*12),1/8),fract[],2,FALSE))&amp;"''",""),IFERROR(INT(Output!C112)&amp;" "&amp;IF(MROUND((Output!C112-INT(Output!C112)),1/8)=0,"",VLOOKUP(MROUND((Output!C112-INT(Output!C112)),1/8),fract[],2,FALSE))&amp;"''","")),"")</f>
        <v/>
      </c>
      <c r="D113" s="9" t="str">
        <f>IF(ISNUMBER(Output!D112),IFERROR(ROUND(INT(Output!D112/12),3)&amp;"'-"&amp;INT(ROUND((Output!D112/12-INT(Output!D112/12))*12,3))&amp;" "&amp;IF(MROUND(ROUND((Output!D112/12-INT(Output!D112/12))*12,3)-INT(ROUND((Output!D112/12-INT(Output!D112/12))*12,3)),1/8)=0,"",VLOOKUP(MROUND((Output!D112/12-INT(Output!D112/12))*12-INT((Output!D112/12-INT(Output!D112/12))*12),1/8),fract[],2,FALSE))&amp;"''",""),"")</f>
        <v/>
      </c>
      <c r="E113" s="9" t="str">
        <f>IF(ISNUMBER(Output!E112),IF(Output!E112&gt;=12,IFERROR(ROUND(INT(Output!E112)/12,0)&amp;"'-"&amp;INT(ROUND((Output!E112/12-INT(Output!E112/12))*12,2))&amp;" "&amp;IF(MROUND(ROUND((Output!E112/12-INT(Output!E112/12))*12,3)-INT(ROUND((Output!E112/12-INT(Output!E112/12))*12,3)),1/8)=0,"",VLOOKUP(MROUND((Output!E112/12-INT(Output!E112/12))*12-INT((Output!E112/12-INT(Output!E112/12))*12),1/8),fract[],2,FALSE))&amp;"''",""),IFERROR(INT(Output!E112)&amp;" "&amp;IF(MROUND((Output!E112-INT(Output!E112)),1/8)=0,"",VLOOKUP(MROUND((Output!E112-INT(Output!E112)),1/8),fract[],2,FALSE))&amp;"''","")),"")</f>
        <v/>
      </c>
      <c r="F113" s="8"/>
      <c r="G113" s="8"/>
      <c r="H113" s="9" t="str">
        <f t="shared" si="2"/>
        <v/>
      </c>
      <c r="I113" s="9" t="str">
        <f t="shared" si="3"/>
        <v/>
      </c>
      <c r="J113" s="12" t="str">
        <f>IF(ISNUMBER(Output!F112),Output!F112,"")</f>
        <v/>
      </c>
      <c r="K113" s="12" t="str">
        <f>IF(ISNUMBER(Output!G112),Output!G112,"")</f>
        <v/>
      </c>
    </row>
    <row r="114" spans="1:11" ht="18" customHeight="1" x14ac:dyDescent="0.25">
      <c r="A114" s="9" t="str">
        <f>IF(ISBLANK(Output!A113),"",Output!A113)</f>
        <v/>
      </c>
      <c r="B114" s="9" t="str">
        <f>IF(ISBLANK(Output!B113),"",Output!B113)</f>
        <v/>
      </c>
      <c r="C114" s="9" t="str">
        <f>IF(ISNUMBER(Output!C113),IF(Output!C113&gt;=12,IFERROR(ROUND(INT(Output!C113)/12,0)&amp;"'-"&amp;INT(ROUND((Output!C113/12-INT(Output!C113/12))*12,2))&amp;" "&amp;IF(MROUND(ROUND((Output!C113/12-INT(Output!C113/12))*12,3)-INT(ROUND((Output!C113/12-INT(Output!C113/12))*12,3)),1/8)=0,"",VLOOKUP(MROUND((Output!C113/12-INT(Output!C113/12))*12-INT((Output!C113/12-INT(Output!C113/12))*12),1/8),fract[],2,FALSE))&amp;"''",""),IFERROR(INT(Output!C113)&amp;" "&amp;IF(MROUND((Output!C113-INT(Output!C113)),1/8)=0,"",VLOOKUP(MROUND((Output!C113-INT(Output!C113)),1/8),fract[],2,FALSE))&amp;"''","")),"")</f>
        <v/>
      </c>
      <c r="D114" s="9" t="str">
        <f>IF(ISNUMBER(Output!D113),IFERROR(ROUND(INT(Output!D113/12),3)&amp;"'-"&amp;INT(ROUND((Output!D113/12-INT(Output!D113/12))*12,3))&amp;" "&amp;IF(MROUND(ROUND((Output!D113/12-INT(Output!D113/12))*12,3)-INT(ROUND((Output!D113/12-INT(Output!D113/12))*12,3)),1/8)=0,"",VLOOKUP(MROUND((Output!D113/12-INT(Output!D113/12))*12-INT((Output!D113/12-INT(Output!D113/12))*12),1/8),fract[],2,FALSE))&amp;"''",""),"")</f>
        <v/>
      </c>
      <c r="E114" s="9" t="str">
        <f>IF(ISNUMBER(Output!E113),IF(Output!E113&gt;=12,IFERROR(ROUND(INT(Output!E113)/12,0)&amp;"'-"&amp;INT(ROUND((Output!E113/12-INT(Output!E113/12))*12,2))&amp;" "&amp;IF(MROUND(ROUND((Output!E113/12-INT(Output!E113/12))*12,3)-INT(ROUND((Output!E113/12-INT(Output!E113/12))*12,3)),1/8)=0,"",VLOOKUP(MROUND((Output!E113/12-INT(Output!E113/12))*12-INT((Output!E113/12-INT(Output!E113/12))*12),1/8),fract[],2,FALSE))&amp;"''",""),IFERROR(INT(Output!E113)&amp;" "&amp;IF(MROUND((Output!E113-INT(Output!E113)),1/8)=0,"",VLOOKUP(MROUND((Output!E113-INT(Output!E113)),1/8),fract[],2,FALSE))&amp;"''","")),"")</f>
        <v/>
      </c>
      <c r="F114" s="8"/>
      <c r="G114" s="8"/>
      <c r="H114" s="9" t="str">
        <f t="shared" si="2"/>
        <v/>
      </c>
      <c r="I114" s="9" t="str">
        <f t="shared" si="3"/>
        <v/>
      </c>
      <c r="J114" s="12" t="str">
        <f>IF(ISNUMBER(Output!F113),Output!F113,"")</f>
        <v/>
      </c>
      <c r="K114" s="12" t="str">
        <f>IF(ISNUMBER(Output!G113),Output!G113,"")</f>
        <v/>
      </c>
    </row>
    <row r="115" spans="1:11" ht="18" customHeight="1" x14ac:dyDescent="0.25">
      <c r="A115" s="9" t="str">
        <f>IF(ISBLANK(Output!A114),"",Output!A114)</f>
        <v/>
      </c>
      <c r="B115" s="9" t="str">
        <f>IF(ISBLANK(Output!B114),"",Output!B114)</f>
        <v/>
      </c>
      <c r="C115" s="9" t="str">
        <f>IF(ISNUMBER(Output!C114),IF(Output!C114&gt;=12,IFERROR(ROUND(INT(Output!C114)/12,0)&amp;"'-"&amp;INT(ROUND((Output!C114/12-INT(Output!C114/12))*12,2))&amp;" "&amp;IF(MROUND(ROUND((Output!C114/12-INT(Output!C114/12))*12,3)-INT(ROUND((Output!C114/12-INT(Output!C114/12))*12,3)),1/8)=0,"",VLOOKUP(MROUND((Output!C114/12-INT(Output!C114/12))*12-INT((Output!C114/12-INT(Output!C114/12))*12),1/8),fract[],2,FALSE))&amp;"''",""),IFERROR(INT(Output!C114)&amp;" "&amp;IF(MROUND((Output!C114-INT(Output!C114)),1/8)=0,"",VLOOKUP(MROUND((Output!C114-INT(Output!C114)),1/8),fract[],2,FALSE))&amp;"''","")),"")</f>
        <v/>
      </c>
      <c r="D115" s="9" t="str">
        <f>IF(ISNUMBER(Output!D114),IFERROR(ROUND(INT(Output!D114/12),3)&amp;"'-"&amp;INT(ROUND((Output!D114/12-INT(Output!D114/12))*12,3))&amp;" "&amp;IF(MROUND(ROUND((Output!D114/12-INT(Output!D114/12))*12,3)-INT(ROUND((Output!D114/12-INT(Output!D114/12))*12,3)),1/8)=0,"",VLOOKUP(MROUND((Output!D114/12-INT(Output!D114/12))*12-INT((Output!D114/12-INT(Output!D114/12))*12),1/8),fract[],2,FALSE))&amp;"''",""),"")</f>
        <v/>
      </c>
      <c r="E115" s="9" t="str">
        <f>IF(ISNUMBER(Output!E114),IF(Output!E114&gt;=12,IFERROR(ROUND(INT(Output!E114)/12,0)&amp;"'-"&amp;INT(ROUND((Output!E114/12-INT(Output!E114/12))*12,2))&amp;" "&amp;IF(MROUND(ROUND((Output!E114/12-INT(Output!E114/12))*12,3)-INT(ROUND((Output!E114/12-INT(Output!E114/12))*12,3)),1/8)=0,"",VLOOKUP(MROUND((Output!E114/12-INT(Output!E114/12))*12-INT((Output!E114/12-INT(Output!E114/12))*12),1/8),fract[],2,FALSE))&amp;"''",""),IFERROR(INT(Output!E114)&amp;" "&amp;IF(MROUND((Output!E114-INT(Output!E114)),1/8)=0,"",VLOOKUP(MROUND((Output!E114-INT(Output!E114)),1/8),fract[],2,FALSE))&amp;"''","")),"")</f>
        <v/>
      </c>
      <c r="F115" s="8"/>
      <c r="G115" s="8"/>
      <c r="H115" s="9" t="str">
        <f t="shared" si="2"/>
        <v/>
      </c>
      <c r="I115" s="9" t="str">
        <f t="shared" si="3"/>
        <v/>
      </c>
      <c r="J115" s="12" t="str">
        <f>IF(ISNUMBER(Output!F114),Output!F114,"")</f>
        <v/>
      </c>
      <c r="K115" s="12" t="str">
        <f>IF(ISNUMBER(Output!G114),Output!G114,"")</f>
        <v/>
      </c>
    </row>
    <row r="116" spans="1:11" ht="18" customHeight="1" x14ac:dyDescent="0.25">
      <c r="A116" s="9" t="str">
        <f>IF(ISBLANK(Output!A115),"",Output!A115)</f>
        <v/>
      </c>
      <c r="B116" s="9" t="str">
        <f>IF(ISBLANK(Output!B115),"",Output!B115)</f>
        <v/>
      </c>
      <c r="C116" s="9" t="str">
        <f>IF(ISNUMBER(Output!C115),IF(Output!C115&gt;=12,IFERROR(ROUND(INT(Output!C115)/12,0)&amp;"'-"&amp;INT(ROUND((Output!C115/12-INT(Output!C115/12))*12,2))&amp;" "&amp;IF(MROUND(ROUND((Output!C115/12-INT(Output!C115/12))*12,3)-INT(ROUND((Output!C115/12-INT(Output!C115/12))*12,3)),1/8)=0,"",VLOOKUP(MROUND((Output!C115/12-INT(Output!C115/12))*12-INT((Output!C115/12-INT(Output!C115/12))*12),1/8),fract[],2,FALSE))&amp;"''",""),IFERROR(INT(Output!C115)&amp;" "&amp;IF(MROUND((Output!C115-INT(Output!C115)),1/8)=0,"",VLOOKUP(MROUND((Output!C115-INT(Output!C115)),1/8),fract[],2,FALSE))&amp;"''","")),"")</f>
        <v/>
      </c>
      <c r="D116" s="9" t="str">
        <f>IF(ISNUMBER(Output!D115),IFERROR(ROUND(INT(Output!D115/12),3)&amp;"'-"&amp;INT(ROUND((Output!D115/12-INT(Output!D115/12))*12,3))&amp;" "&amp;IF(MROUND(ROUND((Output!D115/12-INT(Output!D115/12))*12,3)-INT(ROUND((Output!D115/12-INT(Output!D115/12))*12,3)),1/8)=0,"",VLOOKUP(MROUND((Output!D115/12-INT(Output!D115/12))*12-INT((Output!D115/12-INT(Output!D115/12))*12),1/8),fract[],2,FALSE))&amp;"''",""),"")</f>
        <v/>
      </c>
      <c r="E116" s="9" t="str">
        <f>IF(ISNUMBER(Output!E115),IF(Output!E115&gt;=12,IFERROR(ROUND(INT(Output!E115)/12,0)&amp;"'-"&amp;INT(ROUND((Output!E115/12-INT(Output!E115/12))*12,2))&amp;" "&amp;IF(MROUND(ROUND((Output!E115/12-INT(Output!E115/12))*12,3)-INT(ROUND((Output!E115/12-INT(Output!E115/12))*12,3)),1/8)=0,"",VLOOKUP(MROUND((Output!E115/12-INT(Output!E115/12))*12-INT((Output!E115/12-INT(Output!E115/12))*12),1/8),fract[],2,FALSE))&amp;"''",""),IFERROR(INT(Output!E115)&amp;" "&amp;IF(MROUND((Output!E115-INT(Output!E115)),1/8)=0,"",VLOOKUP(MROUND((Output!E115-INT(Output!E115)),1/8),fract[],2,FALSE))&amp;"''","")),"")</f>
        <v/>
      </c>
      <c r="F116" s="8"/>
      <c r="G116" s="8"/>
      <c r="H116" s="9" t="str">
        <f t="shared" si="2"/>
        <v/>
      </c>
      <c r="I116" s="9" t="str">
        <f t="shared" si="3"/>
        <v/>
      </c>
      <c r="J116" s="12" t="str">
        <f>IF(ISNUMBER(Output!F115),Output!F115,"")</f>
        <v/>
      </c>
      <c r="K116" s="12" t="str">
        <f>IF(ISNUMBER(Output!G115),Output!G115,"")</f>
        <v/>
      </c>
    </row>
    <row r="117" spans="1:11" ht="18" customHeight="1" x14ac:dyDescent="0.25">
      <c r="A117" s="9" t="str">
        <f>IF(ISBLANK(Output!A116),"",Output!A116)</f>
        <v/>
      </c>
      <c r="B117" s="9" t="str">
        <f>IF(ISBLANK(Output!B116),"",Output!B116)</f>
        <v/>
      </c>
      <c r="C117" s="9" t="str">
        <f>IF(ISNUMBER(Output!C116),IF(Output!C116&gt;=12,IFERROR(ROUND(INT(Output!C116)/12,0)&amp;"'-"&amp;INT(ROUND((Output!C116/12-INT(Output!C116/12))*12,2))&amp;" "&amp;IF(MROUND(ROUND((Output!C116/12-INT(Output!C116/12))*12,3)-INT(ROUND((Output!C116/12-INT(Output!C116/12))*12,3)),1/8)=0,"",VLOOKUP(MROUND((Output!C116/12-INT(Output!C116/12))*12-INT((Output!C116/12-INT(Output!C116/12))*12),1/8),fract[],2,FALSE))&amp;"''",""),IFERROR(INT(Output!C116)&amp;" "&amp;IF(MROUND((Output!C116-INT(Output!C116)),1/8)=0,"",VLOOKUP(MROUND((Output!C116-INT(Output!C116)),1/8),fract[],2,FALSE))&amp;"''","")),"")</f>
        <v/>
      </c>
      <c r="D117" s="9" t="str">
        <f>IF(ISNUMBER(Output!D116),IFERROR(ROUND(INT(Output!D116/12),3)&amp;"'-"&amp;INT(ROUND((Output!D116/12-INT(Output!D116/12))*12,3))&amp;" "&amp;IF(MROUND(ROUND((Output!D116/12-INT(Output!D116/12))*12,3)-INT(ROUND((Output!D116/12-INT(Output!D116/12))*12,3)),1/8)=0,"",VLOOKUP(MROUND((Output!D116/12-INT(Output!D116/12))*12-INT((Output!D116/12-INT(Output!D116/12))*12),1/8),fract[],2,FALSE))&amp;"''",""),"")</f>
        <v/>
      </c>
      <c r="E117" s="9" t="str">
        <f>IF(ISNUMBER(Output!E116),IF(Output!E116&gt;=12,IFERROR(ROUND(INT(Output!E116)/12,0)&amp;"'-"&amp;INT(ROUND((Output!E116/12-INT(Output!E116/12))*12,2))&amp;" "&amp;IF(MROUND(ROUND((Output!E116/12-INT(Output!E116/12))*12,3)-INT(ROUND((Output!E116/12-INT(Output!E116/12))*12,3)),1/8)=0,"",VLOOKUP(MROUND((Output!E116/12-INT(Output!E116/12))*12-INT((Output!E116/12-INT(Output!E116/12))*12),1/8),fract[],2,FALSE))&amp;"''",""),IFERROR(INT(Output!E116)&amp;" "&amp;IF(MROUND((Output!E116-INT(Output!E116)),1/8)=0,"",VLOOKUP(MROUND((Output!E116-INT(Output!E116)),1/8),fract[],2,FALSE))&amp;"''","")),"")</f>
        <v/>
      </c>
      <c r="F117" s="8"/>
      <c r="G117" s="8"/>
      <c r="H117" s="9" t="str">
        <f t="shared" si="2"/>
        <v/>
      </c>
      <c r="I117" s="9" t="str">
        <f t="shared" si="3"/>
        <v/>
      </c>
      <c r="J117" s="12" t="str">
        <f>IF(ISNUMBER(Output!F116),Output!F116,"")</f>
        <v/>
      </c>
      <c r="K117" s="12" t="str">
        <f>IF(ISNUMBER(Output!G116),Output!G116,"")</f>
        <v/>
      </c>
    </row>
    <row r="118" spans="1:11" ht="18" customHeight="1" x14ac:dyDescent="0.25">
      <c r="A118" s="9" t="str">
        <f>IF(ISBLANK(Output!A117),"",Output!A117)</f>
        <v/>
      </c>
      <c r="B118" s="9" t="str">
        <f>IF(ISBLANK(Output!B117),"",Output!B117)</f>
        <v/>
      </c>
      <c r="C118" s="9" t="str">
        <f>IF(ISNUMBER(Output!C117),IF(Output!C117&gt;=12,IFERROR(ROUND(INT(Output!C117)/12,0)&amp;"'-"&amp;INT(ROUND((Output!C117/12-INT(Output!C117/12))*12,2))&amp;" "&amp;IF(MROUND(ROUND((Output!C117/12-INT(Output!C117/12))*12,3)-INT(ROUND((Output!C117/12-INT(Output!C117/12))*12,3)),1/8)=0,"",VLOOKUP(MROUND((Output!C117/12-INT(Output!C117/12))*12-INT((Output!C117/12-INT(Output!C117/12))*12),1/8),fract[],2,FALSE))&amp;"''",""),IFERROR(INT(Output!C117)&amp;" "&amp;IF(MROUND((Output!C117-INT(Output!C117)),1/8)=0,"",VLOOKUP(MROUND((Output!C117-INT(Output!C117)),1/8),fract[],2,FALSE))&amp;"''","")),"")</f>
        <v/>
      </c>
      <c r="D118" s="9" t="str">
        <f>IF(ISNUMBER(Output!D117),IFERROR(ROUND(INT(Output!D117/12),3)&amp;"'-"&amp;INT(ROUND((Output!D117/12-INT(Output!D117/12))*12,3))&amp;" "&amp;IF(MROUND(ROUND((Output!D117/12-INT(Output!D117/12))*12,3)-INT(ROUND((Output!D117/12-INT(Output!D117/12))*12,3)),1/8)=0,"",VLOOKUP(MROUND((Output!D117/12-INT(Output!D117/12))*12-INT((Output!D117/12-INT(Output!D117/12))*12),1/8),fract[],2,FALSE))&amp;"''",""),"")</f>
        <v/>
      </c>
      <c r="E118" s="9" t="str">
        <f>IF(ISNUMBER(Output!E117),IF(Output!E117&gt;=12,IFERROR(ROUND(INT(Output!E117)/12,0)&amp;"'-"&amp;INT(ROUND((Output!E117/12-INT(Output!E117/12))*12,2))&amp;" "&amp;IF(MROUND(ROUND((Output!E117/12-INT(Output!E117/12))*12,3)-INT(ROUND((Output!E117/12-INT(Output!E117/12))*12,3)),1/8)=0,"",VLOOKUP(MROUND((Output!E117/12-INT(Output!E117/12))*12-INT((Output!E117/12-INT(Output!E117/12))*12),1/8),fract[],2,FALSE))&amp;"''",""),IFERROR(INT(Output!E117)&amp;" "&amp;IF(MROUND((Output!E117-INT(Output!E117)),1/8)=0,"",VLOOKUP(MROUND((Output!E117-INT(Output!E117)),1/8),fract[],2,FALSE))&amp;"''","")),"")</f>
        <v/>
      </c>
      <c r="F118" s="8"/>
      <c r="G118" s="8"/>
      <c r="H118" s="9" t="str">
        <f t="shared" si="2"/>
        <v/>
      </c>
      <c r="I118" s="9" t="str">
        <f t="shared" si="3"/>
        <v/>
      </c>
      <c r="J118" s="12" t="str">
        <f>IF(ISNUMBER(Output!F117),Output!F117,"")</f>
        <v/>
      </c>
      <c r="K118" s="12" t="str">
        <f>IF(ISNUMBER(Output!G117),Output!G117,"")</f>
        <v/>
      </c>
    </row>
    <row r="119" spans="1:11" ht="18" customHeight="1" x14ac:dyDescent="0.25">
      <c r="A119" s="9" t="str">
        <f>IF(ISBLANK(Output!A118),"",Output!A118)</f>
        <v/>
      </c>
      <c r="B119" s="9" t="str">
        <f>IF(ISBLANK(Output!B118),"",Output!B118)</f>
        <v/>
      </c>
      <c r="C119" s="9" t="str">
        <f>IF(ISNUMBER(Output!C118),IF(Output!C118&gt;=12,IFERROR(ROUND(INT(Output!C118)/12,0)&amp;"'-"&amp;INT(ROUND((Output!C118/12-INT(Output!C118/12))*12,2))&amp;" "&amp;IF(MROUND(ROUND((Output!C118/12-INT(Output!C118/12))*12,3)-INT(ROUND((Output!C118/12-INT(Output!C118/12))*12,3)),1/8)=0,"",VLOOKUP(MROUND((Output!C118/12-INT(Output!C118/12))*12-INT((Output!C118/12-INT(Output!C118/12))*12),1/8),fract[],2,FALSE))&amp;"''",""),IFERROR(INT(Output!C118)&amp;" "&amp;IF(MROUND((Output!C118-INT(Output!C118)),1/8)=0,"",VLOOKUP(MROUND((Output!C118-INT(Output!C118)),1/8),fract[],2,FALSE))&amp;"''","")),"")</f>
        <v/>
      </c>
      <c r="D119" s="9" t="str">
        <f>IF(ISNUMBER(Output!D118),IFERROR(ROUND(INT(Output!D118/12),3)&amp;"'-"&amp;INT(ROUND((Output!D118/12-INT(Output!D118/12))*12,3))&amp;" "&amp;IF(MROUND(ROUND((Output!D118/12-INT(Output!D118/12))*12,3)-INT(ROUND((Output!D118/12-INT(Output!D118/12))*12,3)),1/8)=0,"",VLOOKUP(MROUND((Output!D118/12-INT(Output!D118/12))*12-INT((Output!D118/12-INT(Output!D118/12))*12),1/8),fract[],2,FALSE))&amp;"''",""),"")</f>
        <v/>
      </c>
      <c r="E119" s="9" t="str">
        <f>IF(ISNUMBER(Output!E118),IF(Output!E118&gt;=12,IFERROR(ROUND(INT(Output!E118)/12,0)&amp;"'-"&amp;INT(ROUND((Output!E118/12-INT(Output!E118/12))*12,2))&amp;" "&amp;IF(MROUND(ROUND((Output!E118/12-INT(Output!E118/12))*12,3)-INT(ROUND((Output!E118/12-INT(Output!E118/12))*12,3)),1/8)=0,"",VLOOKUP(MROUND((Output!E118/12-INT(Output!E118/12))*12-INT((Output!E118/12-INT(Output!E118/12))*12),1/8),fract[],2,FALSE))&amp;"''",""),IFERROR(INT(Output!E118)&amp;" "&amp;IF(MROUND((Output!E118-INT(Output!E118)),1/8)=0,"",VLOOKUP(MROUND((Output!E118-INT(Output!E118)),1/8),fract[],2,FALSE))&amp;"''","")),"")</f>
        <v/>
      </c>
      <c r="F119" s="8"/>
      <c r="G119" s="8"/>
      <c r="H119" s="9" t="str">
        <f t="shared" si="2"/>
        <v/>
      </c>
      <c r="I119" s="9" t="str">
        <f t="shared" si="3"/>
        <v/>
      </c>
      <c r="J119" s="12" t="str">
        <f>IF(ISNUMBER(Output!F118),Output!F118,"")</f>
        <v/>
      </c>
      <c r="K119" s="12" t="str">
        <f>IF(ISNUMBER(Output!G118),Output!G118,"")</f>
        <v/>
      </c>
    </row>
    <row r="120" spans="1:11" ht="18" customHeight="1" x14ac:dyDescent="0.25">
      <c r="A120" s="9" t="str">
        <f>IF(ISBLANK(Output!A119),"",Output!A119)</f>
        <v/>
      </c>
      <c r="B120" s="9" t="str">
        <f>IF(ISBLANK(Output!B119),"",Output!B119)</f>
        <v/>
      </c>
      <c r="C120" s="9" t="str">
        <f>IF(ISNUMBER(Output!C119),IF(Output!C119&gt;=12,IFERROR(ROUND(INT(Output!C119)/12,0)&amp;"'-"&amp;INT(ROUND((Output!C119/12-INT(Output!C119/12))*12,2))&amp;" "&amp;IF(MROUND(ROUND((Output!C119/12-INT(Output!C119/12))*12,3)-INT(ROUND((Output!C119/12-INT(Output!C119/12))*12,3)),1/8)=0,"",VLOOKUP(MROUND((Output!C119/12-INT(Output!C119/12))*12-INT((Output!C119/12-INT(Output!C119/12))*12),1/8),fract[],2,FALSE))&amp;"''",""),IFERROR(INT(Output!C119)&amp;" "&amp;IF(MROUND((Output!C119-INT(Output!C119)),1/8)=0,"",VLOOKUP(MROUND((Output!C119-INT(Output!C119)),1/8),fract[],2,FALSE))&amp;"''","")),"")</f>
        <v/>
      </c>
      <c r="D120" s="9" t="str">
        <f>IF(ISNUMBER(Output!D119),IFERROR(ROUND(INT(Output!D119/12),3)&amp;"'-"&amp;INT(ROUND((Output!D119/12-INT(Output!D119/12))*12,3))&amp;" "&amp;IF(MROUND(ROUND((Output!D119/12-INT(Output!D119/12))*12,3)-INT(ROUND((Output!D119/12-INT(Output!D119/12))*12,3)),1/8)=0,"",VLOOKUP(MROUND((Output!D119/12-INT(Output!D119/12))*12-INT((Output!D119/12-INT(Output!D119/12))*12),1/8),fract[],2,FALSE))&amp;"''",""),"")</f>
        <v/>
      </c>
      <c r="E120" s="9" t="str">
        <f>IF(ISNUMBER(Output!E119),IF(Output!E119&gt;=12,IFERROR(ROUND(INT(Output!E119)/12,0)&amp;"'-"&amp;INT(ROUND((Output!E119/12-INT(Output!E119/12))*12,2))&amp;" "&amp;IF(MROUND(ROUND((Output!E119/12-INT(Output!E119/12))*12,3)-INT(ROUND((Output!E119/12-INT(Output!E119/12))*12,3)),1/8)=0,"",VLOOKUP(MROUND((Output!E119/12-INT(Output!E119/12))*12-INT((Output!E119/12-INT(Output!E119/12))*12),1/8),fract[],2,FALSE))&amp;"''",""),IFERROR(INT(Output!E119)&amp;" "&amp;IF(MROUND((Output!E119-INT(Output!E119)),1/8)=0,"",VLOOKUP(MROUND((Output!E119-INT(Output!E119)),1/8),fract[],2,FALSE))&amp;"''","")),"")</f>
        <v/>
      </c>
      <c r="F120" s="8"/>
      <c r="G120" s="8"/>
      <c r="H120" s="9" t="str">
        <f t="shared" si="2"/>
        <v/>
      </c>
      <c r="I120" s="9" t="str">
        <f t="shared" si="3"/>
        <v/>
      </c>
      <c r="J120" s="12" t="str">
        <f>IF(ISNUMBER(Output!F119),Output!F119,"")</f>
        <v/>
      </c>
      <c r="K120" s="12" t="str">
        <f>IF(ISNUMBER(Output!G119),Output!G119,"")</f>
        <v/>
      </c>
    </row>
    <row r="121" spans="1:11" ht="18" customHeight="1" x14ac:dyDescent="0.25">
      <c r="A121" s="9" t="str">
        <f>IF(ISBLANK(Output!A120),"",Output!A120)</f>
        <v/>
      </c>
      <c r="B121" s="9" t="str">
        <f>IF(ISBLANK(Output!B120),"",Output!B120)</f>
        <v/>
      </c>
      <c r="C121" s="9" t="str">
        <f>IF(ISNUMBER(Output!C120),IF(Output!C120&gt;=12,IFERROR(ROUND(INT(Output!C120)/12,0)&amp;"'-"&amp;INT(ROUND((Output!C120/12-INT(Output!C120/12))*12,2))&amp;" "&amp;IF(MROUND(ROUND((Output!C120/12-INT(Output!C120/12))*12,3)-INT(ROUND((Output!C120/12-INT(Output!C120/12))*12,3)),1/8)=0,"",VLOOKUP(MROUND((Output!C120/12-INT(Output!C120/12))*12-INT((Output!C120/12-INT(Output!C120/12))*12),1/8),fract[],2,FALSE))&amp;"''",""),IFERROR(INT(Output!C120)&amp;" "&amp;IF(MROUND((Output!C120-INT(Output!C120)),1/8)=0,"",VLOOKUP(MROUND((Output!C120-INT(Output!C120)),1/8),fract[],2,FALSE))&amp;"''","")),"")</f>
        <v/>
      </c>
      <c r="D121" s="9" t="str">
        <f>IF(ISNUMBER(Output!D120),IFERROR(ROUND(INT(Output!D120/12),3)&amp;"'-"&amp;INT(ROUND((Output!D120/12-INT(Output!D120/12))*12,3))&amp;" "&amp;IF(MROUND(ROUND((Output!D120/12-INT(Output!D120/12))*12,3)-INT(ROUND((Output!D120/12-INT(Output!D120/12))*12,3)),1/8)=0,"",VLOOKUP(MROUND((Output!D120/12-INT(Output!D120/12))*12-INT((Output!D120/12-INT(Output!D120/12))*12),1/8),fract[],2,FALSE))&amp;"''",""),"")</f>
        <v/>
      </c>
      <c r="E121" s="9" t="str">
        <f>IF(ISNUMBER(Output!E120),IF(Output!E120&gt;=12,IFERROR(ROUND(INT(Output!E120)/12,0)&amp;"'-"&amp;INT(ROUND((Output!E120/12-INT(Output!E120/12))*12,2))&amp;" "&amp;IF(MROUND(ROUND((Output!E120/12-INT(Output!E120/12))*12,3)-INT(ROUND((Output!E120/12-INT(Output!E120/12))*12,3)),1/8)=0,"",VLOOKUP(MROUND((Output!E120/12-INT(Output!E120/12))*12-INT((Output!E120/12-INT(Output!E120/12))*12),1/8),fract[],2,FALSE))&amp;"''",""),IFERROR(INT(Output!E120)&amp;" "&amp;IF(MROUND((Output!E120-INT(Output!E120)),1/8)=0,"",VLOOKUP(MROUND((Output!E120-INT(Output!E120)),1/8),fract[],2,FALSE))&amp;"''","")),"")</f>
        <v/>
      </c>
      <c r="F121" s="8"/>
      <c r="G121" s="8"/>
      <c r="H121" s="9" t="str">
        <f t="shared" si="2"/>
        <v/>
      </c>
      <c r="I121" s="9" t="str">
        <f t="shared" si="3"/>
        <v/>
      </c>
      <c r="J121" s="12" t="str">
        <f>IF(ISNUMBER(Output!F120),Output!F120,"")</f>
        <v/>
      </c>
      <c r="K121" s="12" t="str">
        <f>IF(ISNUMBER(Output!G120),Output!G120,"")</f>
        <v/>
      </c>
    </row>
    <row r="122" spans="1:11" ht="18" customHeight="1" x14ac:dyDescent="0.25">
      <c r="A122" s="9" t="str">
        <f>IF(ISBLANK(Output!A121),"",Output!A121)</f>
        <v/>
      </c>
      <c r="B122" s="9" t="str">
        <f>IF(ISBLANK(Output!B121),"",Output!B121)</f>
        <v/>
      </c>
      <c r="C122" s="9" t="str">
        <f>IF(ISNUMBER(Output!C121),IF(Output!C121&gt;=12,IFERROR(ROUND(INT(Output!C121)/12,0)&amp;"'-"&amp;INT(ROUND((Output!C121/12-INT(Output!C121/12))*12,2))&amp;" "&amp;IF(MROUND(ROUND((Output!C121/12-INT(Output!C121/12))*12,3)-INT(ROUND((Output!C121/12-INT(Output!C121/12))*12,3)),1/8)=0,"",VLOOKUP(MROUND((Output!C121/12-INT(Output!C121/12))*12-INT((Output!C121/12-INT(Output!C121/12))*12),1/8),fract[],2,FALSE))&amp;"''",""),IFERROR(INT(Output!C121)&amp;" "&amp;IF(MROUND((Output!C121-INT(Output!C121)),1/8)=0,"",VLOOKUP(MROUND((Output!C121-INT(Output!C121)),1/8),fract[],2,FALSE))&amp;"''","")),"")</f>
        <v/>
      </c>
      <c r="D122" s="9" t="str">
        <f>IF(ISNUMBER(Output!D121),IFERROR(ROUND(INT(Output!D121/12),3)&amp;"'-"&amp;INT(ROUND((Output!D121/12-INT(Output!D121/12))*12,3))&amp;" "&amp;IF(MROUND(ROUND((Output!D121/12-INT(Output!D121/12))*12,3)-INT(ROUND((Output!D121/12-INT(Output!D121/12))*12,3)),1/8)=0,"",VLOOKUP(MROUND((Output!D121/12-INT(Output!D121/12))*12-INT((Output!D121/12-INT(Output!D121/12))*12),1/8),fract[],2,FALSE))&amp;"''",""),"")</f>
        <v/>
      </c>
      <c r="E122" s="9" t="str">
        <f>IF(ISNUMBER(Output!E121),IF(Output!E121&gt;=12,IFERROR(ROUND(INT(Output!E121)/12,0)&amp;"'-"&amp;INT(ROUND((Output!E121/12-INT(Output!E121/12))*12,2))&amp;" "&amp;IF(MROUND(ROUND((Output!E121/12-INT(Output!E121/12))*12,3)-INT(ROUND((Output!E121/12-INT(Output!E121/12))*12,3)),1/8)=0,"",VLOOKUP(MROUND((Output!E121/12-INT(Output!E121/12))*12-INT((Output!E121/12-INT(Output!E121/12))*12),1/8),fract[],2,FALSE))&amp;"''",""),IFERROR(INT(Output!E121)&amp;" "&amp;IF(MROUND((Output!E121-INT(Output!E121)),1/8)=0,"",VLOOKUP(MROUND((Output!E121-INT(Output!E121)),1/8),fract[],2,FALSE))&amp;"''","")),"")</f>
        <v/>
      </c>
      <c r="F122" s="8"/>
      <c r="G122" s="8"/>
      <c r="H122" s="9" t="str">
        <f t="shared" si="2"/>
        <v/>
      </c>
      <c r="I122" s="9" t="str">
        <f t="shared" si="3"/>
        <v/>
      </c>
      <c r="J122" s="12" t="str">
        <f>IF(ISNUMBER(Output!F121),Output!F121,"")</f>
        <v/>
      </c>
      <c r="K122" s="12" t="str">
        <f>IF(ISNUMBER(Output!G121),Output!G121,"")</f>
        <v/>
      </c>
    </row>
    <row r="123" spans="1:11" ht="18" customHeight="1" x14ac:dyDescent="0.25">
      <c r="A123" s="9" t="str">
        <f>IF(ISBLANK(Output!A122),"",Output!A122)</f>
        <v/>
      </c>
      <c r="B123" s="9" t="str">
        <f>IF(ISBLANK(Output!B122),"",Output!B122)</f>
        <v/>
      </c>
      <c r="C123" s="9" t="str">
        <f>IF(ISNUMBER(Output!C122),IF(Output!C122&gt;=12,IFERROR(ROUND(INT(Output!C122)/12,0)&amp;"'-"&amp;INT(ROUND((Output!C122/12-INT(Output!C122/12))*12,2))&amp;" "&amp;IF(MROUND(ROUND((Output!C122/12-INT(Output!C122/12))*12,3)-INT(ROUND((Output!C122/12-INT(Output!C122/12))*12,3)),1/8)=0,"",VLOOKUP(MROUND((Output!C122/12-INT(Output!C122/12))*12-INT((Output!C122/12-INT(Output!C122/12))*12),1/8),fract[],2,FALSE))&amp;"''",""),IFERROR(INT(Output!C122)&amp;" "&amp;IF(MROUND((Output!C122-INT(Output!C122)),1/8)=0,"",VLOOKUP(MROUND((Output!C122-INT(Output!C122)),1/8),fract[],2,FALSE))&amp;"''","")),"")</f>
        <v/>
      </c>
      <c r="D123" s="9" t="str">
        <f>IF(ISNUMBER(Output!D122),IFERROR(ROUND(INT(Output!D122/12),3)&amp;"'-"&amp;INT(ROUND((Output!D122/12-INT(Output!D122/12))*12,3))&amp;" "&amp;IF(MROUND(ROUND((Output!D122/12-INT(Output!D122/12))*12,3)-INT(ROUND((Output!D122/12-INT(Output!D122/12))*12,3)),1/8)=0,"",VLOOKUP(MROUND((Output!D122/12-INT(Output!D122/12))*12-INT((Output!D122/12-INT(Output!D122/12))*12),1/8),fract[],2,FALSE))&amp;"''",""),"")</f>
        <v/>
      </c>
      <c r="E123" s="9" t="str">
        <f>IF(ISNUMBER(Output!E122),IF(Output!E122&gt;=12,IFERROR(ROUND(INT(Output!E122)/12,0)&amp;"'-"&amp;INT(ROUND((Output!E122/12-INT(Output!E122/12))*12,2))&amp;" "&amp;IF(MROUND(ROUND((Output!E122/12-INT(Output!E122/12))*12,3)-INT(ROUND((Output!E122/12-INT(Output!E122/12))*12,3)),1/8)=0,"",VLOOKUP(MROUND((Output!E122/12-INT(Output!E122/12))*12-INT((Output!E122/12-INT(Output!E122/12))*12),1/8),fract[],2,FALSE))&amp;"''",""),IFERROR(INT(Output!E122)&amp;" "&amp;IF(MROUND((Output!E122-INT(Output!E122)),1/8)=0,"",VLOOKUP(MROUND((Output!E122-INT(Output!E122)),1/8),fract[],2,FALSE))&amp;"''","")),"")</f>
        <v/>
      </c>
      <c r="F123" s="8"/>
      <c r="G123" s="8"/>
      <c r="H123" s="9" t="str">
        <f t="shared" si="2"/>
        <v/>
      </c>
      <c r="I123" s="9" t="str">
        <f t="shared" si="3"/>
        <v/>
      </c>
      <c r="J123" s="12" t="str">
        <f>IF(ISNUMBER(Output!F122),Output!F122,"")</f>
        <v/>
      </c>
      <c r="K123" s="12" t="str">
        <f>IF(ISNUMBER(Output!G122),Output!G122,"")</f>
        <v/>
      </c>
    </row>
    <row r="124" spans="1:11" ht="18" customHeight="1" x14ac:dyDescent="0.25">
      <c r="A124" s="9" t="str">
        <f>IF(ISBLANK(Output!A123),"",Output!A123)</f>
        <v/>
      </c>
      <c r="B124" s="9" t="str">
        <f>IF(ISBLANK(Output!B123),"",Output!B123)</f>
        <v/>
      </c>
      <c r="C124" s="9" t="str">
        <f>IF(ISNUMBER(Output!C123),IF(Output!C123&gt;=12,IFERROR(ROUND(INT(Output!C123)/12,0)&amp;"'-"&amp;INT(ROUND((Output!C123/12-INT(Output!C123/12))*12,2))&amp;" "&amp;IF(MROUND(ROUND((Output!C123/12-INT(Output!C123/12))*12,3)-INT(ROUND((Output!C123/12-INT(Output!C123/12))*12,3)),1/8)=0,"",VLOOKUP(MROUND((Output!C123/12-INT(Output!C123/12))*12-INT((Output!C123/12-INT(Output!C123/12))*12),1/8),fract[],2,FALSE))&amp;"''",""),IFERROR(INT(Output!C123)&amp;" "&amp;IF(MROUND((Output!C123-INT(Output!C123)),1/8)=0,"",VLOOKUP(MROUND((Output!C123-INT(Output!C123)),1/8),fract[],2,FALSE))&amp;"''","")),"")</f>
        <v/>
      </c>
      <c r="D124" s="9" t="str">
        <f>IF(ISNUMBER(Output!D123),IFERROR(ROUND(INT(Output!D123/12),3)&amp;"'-"&amp;INT(ROUND((Output!D123/12-INT(Output!D123/12))*12,3))&amp;" "&amp;IF(MROUND(ROUND((Output!D123/12-INT(Output!D123/12))*12,3)-INT(ROUND((Output!D123/12-INT(Output!D123/12))*12,3)),1/8)=0,"",VLOOKUP(MROUND((Output!D123/12-INT(Output!D123/12))*12-INT((Output!D123/12-INT(Output!D123/12))*12),1/8),fract[],2,FALSE))&amp;"''",""),"")</f>
        <v/>
      </c>
      <c r="E124" s="9" t="str">
        <f>IF(ISNUMBER(Output!E123),IF(Output!E123&gt;=12,IFERROR(ROUND(INT(Output!E123)/12,0)&amp;"'-"&amp;INT(ROUND((Output!E123/12-INT(Output!E123/12))*12,2))&amp;" "&amp;IF(MROUND(ROUND((Output!E123/12-INT(Output!E123/12))*12,3)-INT(ROUND((Output!E123/12-INT(Output!E123/12))*12,3)),1/8)=0,"",VLOOKUP(MROUND((Output!E123/12-INT(Output!E123/12))*12-INT((Output!E123/12-INT(Output!E123/12))*12),1/8),fract[],2,FALSE))&amp;"''",""),IFERROR(INT(Output!E123)&amp;" "&amp;IF(MROUND((Output!E123-INT(Output!E123)),1/8)=0,"",VLOOKUP(MROUND((Output!E123-INT(Output!E123)),1/8),fract[],2,FALSE))&amp;"''","")),"")</f>
        <v/>
      </c>
      <c r="F124" s="8"/>
      <c r="G124" s="8"/>
      <c r="H124" s="9" t="str">
        <f t="shared" si="2"/>
        <v/>
      </c>
      <c r="I124" s="9" t="str">
        <f t="shared" si="3"/>
        <v/>
      </c>
      <c r="J124" s="12" t="str">
        <f>IF(ISNUMBER(Output!F123),Output!F123,"")</f>
        <v/>
      </c>
      <c r="K124" s="12" t="str">
        <f>IF(ISNUMBER(Output!G123),Output!G123,"")</f>
        <v/>
      </c>
    </row>
    <row r="125" spans="1:11" ht="18" customHeight="1" x14ac:dyDescent="0.25">
      <c r="A125" s="9" t="str">
        <f>IF(ISBLANK(Output!A124),"",Output!A124)</f>
        <v/>
      </c>
      <c r="B125" s="9" t="str">
        <f>IF(ISBLANK(Output!B124),"",Output!B124)</f>
        <v/>
      </c>
      <c r="C125" s="9" t="str">
        <f>IF(ISNUMBER(Output!C124),IF(Output!C124&gt;=12,IFERROR(ROUND(INT(Output!C124)/12,0)&amp;"'-"&amp;INT(ROUND((Output!C124/12-INT(Output!C124/12))*12,2))&amp;" "&amp;IF(MROUND(ROUND((Output!C124/12-INT(Output!C124/12))*12,3)-INT(ROUND((Output!C124/12-INT(Output!C124/12))*12,3)),1/8)=0,"",VLOOKUP(MROUND((Output!C124/12-INT(Output!C124/12))*12-INT((Output!C124/12-INT(Output!C124/12))*12),1/8),fract[],2,FALSE))&amp;"''",""),IFERROR(INT(Output!C124)&amp;" "&amp;IF(MROUND((Output!C124-INT(Output!C124)),1/8)=0,"",VLOOKUP(MROUND((Output!C124-INT(Output!C124)),1/8),fract[],2,FALSE))&amp;"''","")),"")</f>
        <v/>
      </c>
      <c r="D125" s="9" t="str">
        <f>IF(ISNUMBER(Output!D124),IFERROR(ROUND(INT(Output!D124/12),3)&amp;"'-"&amp;INT(ROUND((Output!D124/12-INT(Output!D124/12))*12,3))&amp;" "&amp;IF(MROUND(ROUND((Output!D124/12-INT(Output!D124/12))*12,3)-INT(ROUND((Output!D124/12-INT(Output!D124/12))*12,3)),1/8)=0,"",VLOOKUP(MROUND((Output!D124/12-INT(Output!D124/12))*12-INT((Output!D124/12-INT(Output!D124/12))*12),1/8),fract[],2,FALSE))&amp;"''",""),"")</f>
        <v/>
      </c>
      <c r="E125" s="9" t="str">
        <f>IF(ISNUMBER(Output!E124),IF(Output!E124&gt;=12,IFERROR(ROUND(INT(Output!E124)/12,0)&amp;"'-"&amp;INT(ROUND((Output!E124/12-INT(Output!E124/12))*12,2))&amp;" "&amp;IF(MROUND(ROUND((Output!E124/12-INT(Output!E124/12))*12,3)-INT(ROUND((Output!E124/12-INT(Output!E124/12))*12,3)),1/8)=0,"",VLOOKUP(MROUND((Output!E124/12-INT(Output!E124/12))*12-INT((Output!E124/12-INT(Output!E124/12))*12),1/8),fract[],2,FALSE))&amp;"''",""),IFERROR(INT(Output!E124)&amp;" "&amp;IF(MROUND((Output!E124-INT(Output!E124)),1/8)=0,"",VLOOKUP(MROUND((Output!E124-INT(Output!E124)),1/8),fract[],2,FALSE))&amp;"''","")),"")</f>
        <v/>
      </c>
      <c r="F125" s="8"/>
      <c r="G125" s="8"/>
      <c r="H125" s="9" t="str">
        <f t="shared" si="2"/>
        <v/>
      </c>
      <c r="I125" s="9" t="str">
        <f t="shared" si="3"/>
        <v/>
      </c>
      <c r="J125" s="12" t="str">
        <f>IF(ISNUMBER(Output!F124),Output!F124,"")</f>
        <v/>
      </c>
      <c r="K125" s="12" t="str">
        <f>IF(ISNUMBER(Output!G124),Output!G124,"")</f>
        <v/>
      </c>
    </row>
    <row r="126" spans="1:11" ht="18" customHeight="1" x14ac:dyDescent="0.25">
      <c r="A126" s="9" t="str">
        <f>IF(ISBLANK(Output!A125),"",Output!A125)</f>
        <v/>
      </c>
      <c r="B126" s="9" t="str">
        <f>IF(ISBLANK(Output!B125),"",Output!B125)</f>
        <v/>
      </c>
      <c r="C126" s="9" t="str">
        <f>IF(ISNUMBER(Output!C125),IF(Output!C125&gt;=12,IFERROR(ROUND(INT(Output!C125)/12,0)&amp;"'-"&amp;INT(ROUND((Output!C125/12-INT(Output!C125/12))*12,2))&amp;" "&amp;IF(MROUND(ROUND((Output!C125/12-INT(Output!C125/12))*12,3)-INT(ROUND((Output!C125/12-INT(Output!C125/12))*12,3)),1/8)=0,"",VLOOKUP(MROUND((Output!C125/12-INT(Output!C125/12))*12-INT((Output!C125/12-INT(Output!C125/12))*12),1/8),fract[],2,FALSE))&amp;"''",""),IFERROR(INT(Output!C125)&amp;" "&amp;IF(MROUND((Output!C125-INT(Output!C125)),1/8)=0,"",VLOOKUP(MROUND((Output!C125-INT(Output!C125)),1/8),fract[],2,FALSE))&amp;"''","")),"")</f>
        <v/>
      </c>
      <c r="D126" s="9" t="str">
        <f>IF(ISNUMBER(Output!D125),IFERROR(ROUND(INT(Output!D125/12),3)&amp;"'-"&amp;INT(ROUND((Output!D125/12-INT(Output!D125/12))*12,3))&amp;" "&amp;IF(MROUND(ROUND((Output!D125/12-INT(Output!D125/12))*12,3)-INT(ROUND((Output!D125/12-INT(Output!D125/12))*12,3)),1/8)=0,"",VLOOKUP(MROUND((Output!D125/12-INT(Output!D125/12))*12-INT((Output!D125/12-INT(Output!D125/12))*12),1/8),fract[],2,FALSE))&amp;"''",""),"")</f>
        <v/>
      </c>
      <c r="E126" s="9" t="str">
        <f>IF(ISNUMBER(Output!E125),IF(Output!E125&gt;=12,IFERROR(ROUND(INT(Output!E125)/12,0)&amp;"'-"&amp;INT(ROUND((Output!E125/12-INT(Output!E125/12))*12,2))&amp;" "&amp;IF(MROUND(ROUND((Output!E125/12-INT(Output!E125/12))*12,3)-INT(ROUND((Output!E125/12-INT(Output!E125/12))*12,3)),1/8)=0,"",VLOOKUP(MROUND((Output!E125/12-INT(Output!E125/12))*12-INT((Output!E125/12-INT(Output!E125/12))*12),1/8),fract[],2,FALSE))&amp;"''",""),IFERROR(INT(Output!E125)&amp;" "&amp;IF(MROUND((Output!E125-INT(Output!E125)),1/8)=0,"",VLOOKUP(MROUND((Output!E125-INT(Output!E125)),1/8),fract[],2,FALSE))&amp;"''","")),"")</f>
        <v/>
      </c>
      <c r="F126" s="8"/>
      <c r="G126" s="8"/>
      <c r="H126" s="9" t="str">
        <f t="shared" si="2"/>
        <v/>
      </c>
      <c r="I126" s="9" t="str">
        <f t="shared" si="3"/>
        <v/>
      </c>
      <c r="J126" s="12" t="str">
        <f>IF(ISNUMBER(Output!F125),Output!F125,"")</f>
        <v/>
      </c>
      <c r="K126" s="12" t="str">
        <f>IF(ISNUMBER(Output!G125),Output!G125,"")</f>
        <v/>
      </c>
    </row>
    <row r="127" spans="1:11" ht="18" customHeight="1" x14ac:dyDescent="0.25">
      <c r="A127" s="9" t="str">
        <f>IF(ISBLANK(Output!A126),"",Output!A126)</f>
        <v/>
      </c>
      <c r="B127" s="9" t="str">
        <f>IF(ISBLANK(Output!B126),"",Output!B126)</f>
        <v/>
      </c>
      <c r="C127" s="9" t="str">
        <f>IF(ISNUMBER(Output!C126),IF(Output!C126&gt;=12,IFERROR(ROUND(INT(Output!C126)/12,0)&amp;"'-"&amp;INT(ROUND((Output!C126/12-INT(Output!C126/12))*12,2))&amp;" "&amp;IF(MROUND(ROUND((Output!C126/12-INT(Output!C126/12))*12,3)-INT(ROUND((Output!C126/12-INT(Output!C126/12))*12,3)),1/8)=0,"",VLOOKUP(MROUND((Output!C126/12-INT(Output!C126/12))*12-INT((Output!C126/12-INT(Output!C126/12))*12),1/8),fract[],2,FALSE))&amp;"''",""),IFERROR(INT(Output!C126)&amp;" "&amp;IF(MROUND((Output!C126-INT(Output!C126)),1/8)=0,"",VLOOKUP(MROUND((Output!C126-INT(Output!C126)),1/8),fract[],2,FALSE))&amp;"''","")),"")</f>
        <v/>
      </c>
      <c r="D127" s="9" t="str">
        <f>IF(ISNUMBER(Output!D126),IFERROR(ROUND(INT(Output!D126/12),3)&amp;"'-"&amp;INT(ROUND((Output!D126/12-INT(Output!D126/12))*12,3))&amp;" "&amp;IF(MROUND(ROUND((Output!D126/12-INT(Output!D126/12))*12,3)-INT(ROUND((Output!D126/12-INT(Output!D126/12))*12,3)),1/8)=0,"",VLOOKUP(MROUND((Output!D126/12-INT(Output!D126/12))*12-INT((Output!D126/12-INT(Output!D126/12))*12),1/8),fract[],2,FALSE))&amp;"''",""),"")</f>
        <v/>
      </c>
      <c r="E127" s="9" t="str">
        <f>IF(ISNUMBER(Output!E126),IF(Output!E126&gt;=12,IFERROR(ROUND(INT(Output!E126)/12,0)&amp;"'-"&amp;INT(ROUND((Output!E126/12-INT(Output!E126/12))*12,2))&amp;" "&amp;IF(MROUND(ROUND((Output!E126/12-INT(Output!E126/12))*12,3)-INT(ROUND((Output!E126/12-INT(Output!E126/12))*12,3)),1/8)=0,"",VLOOKUP(MROUND((Output!E126/12-INT(Output!E126/12))*12-INT((Output!E126/12-INT(Output!E126/12))*12),1/8),fract[],2,FALSE))&amp;"''",""),IFERROR(INT(Output!E126)&amp;" "&amp;IF(MROUND((Output!E126-INT(Output!E126)),1/8)=0,"",VLOOKUP(MROUND((Output!E126-INT(Output!E126)),1/8),fract[],2,FALSE))&amp;"''","")),"")</f>
        <v/>
      </c>
      <c r="F127" s="8"/>
      <c r="G127" s="8"/>
      <c r="H127" s="9" t="str">
        <f t="shared" si="2"/>
        <v/>
      </c>
      <c r="I127" s="9" t="str">
        <f t="shared" si="3"/>
        <v/>
      </c>
      <c r="J127" s="12" t="str">
        <f>IF(ISNUMBER(Output!F126),Output!F126,"")</f>
        <v/>
      </c>
      <c r="K127" s="12" t="str">
        <f>IF(ISNUMBER(Output!G126),Output!G126,"")</f>
        <v/>
      </c>
    </row>
    <row r="128" spans="1:11" ht="18" customHeight="1" x14ac:dyDescent="0.25">
      <c r="A128" s="9" t="str">
        <f>IF(ISBLANK(Output!A127),"",Output!A127)</f>
        <v/>
      </c>
      <c r="B128" s="9" t="str">
        <f>IF(ISBLANK(Output!B127),"",Output!B127)</f>
        <v/>
      </c>
      <c r="C128" s="9" t="str">
        <f>IF(ISNUMBER(Output!C127),IF(Output!C127&gt;=12,IFERROR(ROUND(INT(Output!C127)/12,0)&amp;"'-"&amp;INT(ROUND((Output!C127/12-INT(Output!C127/12))*12,2))&amp;" "&amp;IF(MROUND(ROUND((Output!C127/12-INT(Output!C127/12))*12,3)-INT(ROUND((Output!C127/12-INT(Output!C127/12))*12,3)),1/8)=0,"",VLOOKUP(MROUND((Output!C127/12-INT(Output!C127/12))*12-INT((Output!C127/12-INT(Output!C127/12))*12),1/8),fract[],2,FALSE))&amp;"''",""),IFERROR(INT(Output!C127)&amp;" "&amp;IF(MROUND((Output!C127-INT(Output!C127)),1/8)=0,"",VLOOKUP(MROUND((Output!C127-INT(Output!C127)),1/8),fract[],2,FALSE))&amp;"''","")),"")</f>
        <v/>
      </c>
      <c r="D128" s="9" t="str">
        <f>IF(ISNUMBER(Output!D127),IFERROR(ROUND(INT(Output!D127/12),3)&amp;"'-"&amp;INT(ROUND((Output!D127/12-INT(Output!D127/12))*12,3))&amp;" "&amp;IF(MROUND(ROUND((Output!D127/12-INT(Output!D127/12))*12,3)-INT(ROUND((Output!D127/12-INT(Output!D127/12))*12,3)),1/8)=0,"",VLOOKUP(MROUND((Output!D127/12-INT(Output!D127/12))*12-INT((Output!D127/12-INT(Output!D127/12))*12),1/8),fract[],2,FALSE))&amp;"''",""),"")</f>
        <v/>
      </c>
      <c r="E128" s="9" t="str">
        <f>IF(ISNUMBER(Output!E127),IF(Output!E127&gt;=12,IFERROR(ROUND(INT(Output!E127)/12,0)&amp;"'-"&amp;INT(ROUND((Output!E127/12-INT(Output!E127/12))*12,2))&amp;" "&amp;IF(MROUND(ROUND((Output!E127/12-INT(Output!E127/12))*12,3)-INT(ROUND((Output!E127/12-INT(Output!E127/12))*12,3)),1/8)=0,"",VLOOKUP(MROUND((Output!E127/12-INT(Output!E127/12))*12-INT((Output!E127/12-INT(Output!E127/12))*12),1/8),fract[],2,FALSE))&amp;"''",""),IFERROR(INT(Output!E127)&amp;" "&amp;IF(MROUND((Output!E127-INT(Output!E127)),1/8)=0,"",VLOOKUP(MROUND((Output!E127-INT(Output!E127)),1/8),fract[],2,FALSE))&amp;"''","")),"")</f>
        <v/>
      </c>
      <c r="F128" s="8"/>
      <c r="G128" s="8"/>
      <c r="H128" s="9" t="str">
        <f t="shared" si="2"/>
        <v/>
      </c>
      <c r="I128" s="9" t="str">
        <f t="shared" si="3"/>
        <v/>
      </c>
      <c r="J128" s="12" t="str">
        <f>IF(ISNUMBER(Output!F127),Output!F127,"")</f>
        <v/>
      </c>
      <c r="K128" s="12" t="str">
        <f>IF(ISNUMBER(Output!G127),Output!G127,"")</f>
        <v/>
      </c>
    </row>
    <row r="129" spans="1:11" ht="18" customHeight="1" x14ac:dyDescent="0.25">
      <c r="A129" s="9" t="str">
        <f>IF(ISBLANK(Output!A128),"",Output!A128)</f>
        <v/>
      </c>
      <c r="B129" s="9" t="str">
        <f>IF(ISBLANK(Output!B128),"",Output!B128)</f>
        <v/>
      </c>
      <c r="C129" s="9" t="str">
        <f>IF(ISNUMBER(Output!C128),IF(Output!C128&gt;=12,IFERROR(ROUND(INT(Output!C128)/12,0)&amp;"'-"&amp;INT(ROUND((Output!C128/12-INT(Output!C128/12))*12,2))&amp;" "&amp;IF(MROUND(ROUND((Output!C128/12-INT(Output!C128/12))*12,3)-INT(ROUND((Output!C128/12-INT(Output!C128/12))*12,3)),1/8)=0,"",VLOOKUP(MROUND((Output!C128/12-INT(Output!C128/12))*12-INT((Output!C128/12-INT(Output!C128/12))*12),1/8),fract[],2,FALSE))&amp;"''",""),IFERROR(INT(Output!C128)&amp;" "&amp;IF(MROUND((Output!C128-INT(Output!C128)),1/8)=0,"",VLOOKUP(MROUND((Output!C128-INT(Output!C128)),1/8),fract[],2,FALSE))&amp;"''","")),"")</f>
        <v/>
      </c>
      <c r="D129" s="9" t="str">
        <f>IF(ISNUMBER(Output!D128),IFERROR(ROUND(INT(Output!D128/12),3)&amp;"'-"&amp;INT(ROUND((Output!D128/12-INT(Output!D128/12))*12,3))&amp;" "&amp;IF(MROUND(ROUND((Output!D128/12-INT(Output!D128/12))*12,3)-INT(ROUND((Output!D128/12-INT(Output!D128/12))*12,3)),1/8)=0,"",VLOOKUP(MROUND((Output!D128/12-INT(Output!D128/12))*12-INT((Output!D128/12-INT(Output!D128/12))*12),1/8),fract[],2,FALSE))&amp;"''",""),"")</f>
        <v/>
      </c>
      <c r="E129" s="9" t="str">
        <f>IF(ISNUMBER(Output!E128),IF(Output!E128&gt;=12,IFERROR(ROUND(INT(Output!E128)/12,0)&amp;"'-"&amp;INT(ROUND((Output!E128/12-INT(Output!E128/12))*12,2))&amp;" "&amp;IF(MROUND(ROUND((Output!E128/12-INT(Output!E128/12))*12,3)-INT(ROUND((Output!E128/12-INT(Output!E128/12))*12,3)),1/8)=0,"",VLOOKUP(MROUND((Output!E128/12-INT(Output!E128/12))*12-INT((Output!E128/12-INT(Output!E128/12))*12),1/8),fract[],2,FALSE))&amp;"''",""),IFERROR(INT(Output!E128)&amp;" "&amp;IF(MROUND((Output!E128-INT(Output!E128)),1/8)=0,"",VLOOKUP(MROUND((Output!E128-INT(Output!E128)),1/8),fract[],2,FALSE))&amp;"''","")),"")</f>
        <v/>
      </c>
      <c r="F129" s="8"/>
      <c r="G129" s="8"/>
      <c r="H129" s="9" t="str">
        <f t="shared" si="2"/>
        <v/>
      </c>
      <c r="I129" s="9" t="str">
        <f t="shared" si="3"/>
        <v/>
      </c>
      <c r="J129" s="12" t="str">
        <f>IF(ISNUMBER(Output!F128),Output!F128,"")</f>
        <v/>
      </c>
      <c r="K129" s="12" t="str">
        <f>IF(ISNUMBER(Output!G128),Output!G128,"")</f>
        <v/>
      </c>
    </row>
    <row r="130" spans="1:11" ht="18" customHeight="1" x14ac:dyDescent="0.25">
      <c r="A130" s="9" t="str">
        <f>IF(ISBLANK(Output!A129),"",Output!A129)</f>
        <v/>
      </c>
      <c r="B130" s="9" t="str">
        <f>IF(ISBLANK(Output!B129),"",Output!B129)</f>
        <v/>
      </c>
      <c r="C130" s="9" t="str">
        <f>IF(ISNUMBER(Output!C129),IF(Output!C129&gt;=12,IFERROR(ROUND(INT(Output!C129)/12,0)&amp;"'-"&amp;INT(ROUND((Output!C129/12-INT(Output!C129/12))*12,2))&amp;" "&amp;IF(MROUND(ROUND((Output!C129/12-INT(Output!C129/12))*12,3)-INT(ROUND((Output!C129/12-INT(Output!C129/12))*12,3)),1/8)=0,"",VLOOKUP(MROUND((Output!C129/12-INT(Output!C129/12))*12-INT((Output!C129/12-INT(Output!C129/12))*12),1/8),fract[],2,FALSE))&amp;"''",""),IFERROR(INT(Output!C129)&amp;" "&amp;IF(MROUND((Output!C129-INT(Output!C129)),1/8)=0,"",VLOOKUP(MROUND((Output!C129-INT(Output!C129)),1/8),fract[],2,FALSE))&amp;"''","")),"")</f>
        <v/>
      </c>
      <c r="D130" s="9" t="str">
        <f>IF(ISNUMBER(Output!D129),IFERROR(ROUND(INT(Output!D129/12),3)&amp;"'-"&amp;INT(ROUND((Output!D129/12-INT(Output!D129/12))*12,3))&amp;" "&amp;IF(MROUND(ROUND((Output!D129/12-INT(Output!D129/12))*12,3)-INT(ROUND((Output!D129/12-INT(Output!D129/12))*12,3)),1/8)=0,"",VLOOKUP(MROUND((Output!D129/12-INT(Output!D129/12))*12-INT((Output!D129/12-INT(Output!D129/12))*12),1/8),fract[],2,FALSE))&amp;"''",""),"")</f>
        <v/>
      </c>
      <c r="E130" s="9" t="str">
        <f>IF(ISNUMBER(Output!E129),IF(Output!E129&gt;=12,IFERROR(ROUND(INT(Output!E129)/12,0)&amp;"'-"&amp;INT(ROUND((Output!E129/12-INT(Output!E129/12))*12,2))&amp;" "&amp;IF(MROUND(ROUND((Output!E129/12-INT(Output!E129/12))*12,3)-INT(ROUND((Output!E129/12-INT(Output!E129/12))*12,3)),1/8)=0,"",VLOOKUP(MROUND((Output!E129/12-INT(Output!E129/12))*12-INT((Output!E129/12-INT(Output!E129/12))*12),1/8),fract[],2,FALSE))&amp;"''",""),IFERROR(INT(Output!E129)&amp;" "&amp;IF(MROUND((Output!E129-INT(Output!E129)),1/8)=0,"",VLOOKUP(MROUND((Output!E129-INT(Output!E129)),1/8),fract[],2,FALSE))&amp;"''","")),"")</f>
        <v/>
      </c>
      <c r="F130" s="8"/>
      <c r="G130" s="8"/>
      <c r="H130" s="9" t="str">
        <f t="shared" si="2"/>
        <v/>
      </c>
      <c r="I130" s="9" t="str">
        <f t="shared" si="3"/>
        <v/>
      </c>
      <c r="J130" s="12" t="str">
        <f>IF(ISNUMBER(Output!F129),Output!F129,"")</f>
        <v/>
      </c>
      <c r="K130" s="12" t="str">
        <f>IF(ISNUMBER(Output!G129),Output!G129,"")</f>
        <v/>
      </c>
    </row>
    <row r="131" spans="1:11" ht="18" customHeight="1" x14ac:dyDescent="0.25">
      <c r="A131" s="9" t="str">
        <f>IF(ISBLANK(Output!A130),"",Output!A130)</f>
        <v/>
      </c>
      <c r="B131" s="9" t="str">
        <f>IF(ISBLANK(Output!B130),"",Output!B130)</f>
        <v/>
      </c>
      <c r="C131" s="9" t="str">
        <f>IF(ISNUMBER(Output!C130),IF(Output!C130&gt;=12,IFERROR(ROUND(INT(Output!C130)/12,0)&amp;"'-"&amp;INT(ROUND((Output!C130/12-INT(Output!C130/12))*12,2))&amp;" "&amp;IF(MROUND(ROUND((Output!C130/12-INT(Output!C130/12))*12,3)-INT(ROUND((Output!C130/12-INT(Output!C130/12))*12,3)),1/8)=0,"",VLOOKUP(MROUND((Output!C130/12-INT(Output!C130/12))*12-INT((Output!C130/12-INT(Output!C130/12))*12),1/8),fract[],2,FALSE))&amp;"''",""),IFERROR(INT(Output!C130)&amp;" "&amp;IF(MROUND((Output!C130-INT(Output!C130)),1/8)=0,"",VLOOKUP(MROUND((Output!C130-INT(Output!C130)),1/8),fract[],2,FALSE))&amp;"''","")),"")</f>
        <v/>
      </c>
      <c r="D131" s="9" t="str">
        <f>IF(ISNUMBER(Output!D130),IFERROR(ROUND(INT(Output!D130/12),3)&amp;"'-"&amp;INT(ROUND((Output!D130/12-INT(Output!D130/12))*12,3))&amp;" "&amp;IF(MROUND(ROUND((Output!D130/12-INT(Output!D130/12))*12,3)-INT(ROUND((Output!D130/12-INT(Output!D130/12))*12,3)),1/8)=0,"",VLOOKUP(MROUND((Output!D130/12-INT(Output!D130/12))*12-INT((Output!D130/12-INT(Output!D130/12))*12),1/8),fract[],2,FALSE))&amp;"''",""),"")</f>
        <v/>
      </c>
      <c r="E131" s="9" t="str">
        <f>IF(ISNUMBER(Output!E130),IF(Output!E130&gt;=12,IFERROR(ROUND(INT(Output!E130)/12,0)&amp;"'-"&amp;INT(ROUND((Output!E130/12-INT(Output!E130/12))*12,2))&amp;" "&amp;IF(MROUND(ROUND((Output!E130/12-INT(Output!E130/12))*12,3)-INT(ROUND((Output!E130/12-INT(Output!E130/12))*12,3)),1/8)=0,"",VLOOKUP(MROUND((Output!E130/12-INT(Output!E130/12))*12-INT((Output!E130/12-INT(Output!E130/12))*12),1/8),fract[],2,FALSE))&amp;"''",""),IFERROR(INT(Output!E130)&amp;" "&amp;IF(MROUND((Output!E130-INT(Output!E130)),1/8)=0,"",VLOOKUP(MROUND((Output!E130-INT(Output!E130)),1/8),fract[],2,FALSE))&amp;"''","")),"")</f>
        <v/>
      </c>
      <c r="F131" s="8"/>
      <c r="G131" s="8"/>
      <c r="H131" s="9" t="str">
        <f t="shared" si="2"/>
        <v/>
      </c>
      <c r="I131" s="9" t="str">
        <f t="shared" si="3"/>
        <v/>
      </c>
      <c r="J131" s="12" t="str">
        <f>IF(ISNUMBER(Output!F130),Output!F130,"")</f>
        <v/>
      </c>
      <c r="K131" s="12" t="str">
        <f>IF(ISNUMBER(Output!G130),Output!G130,"")</f>
        <v/>
      </c>
    </row>
    <row r="132" spans="1:11" ht="18" customHeight="1" x14ac:dyDescent="0.25">
      <c r="A132" s="9" t="str">
        <f>IF(ISBLANK(Output!A131),"",Output!A131)</f>
        <v/>
      </c>
      <c r="B132" s="9" t="str">
        <f>IF(ISBLANK(Output!B131),"",Output!B131)</f>
        <v/>
      </c>
      <c r="C132" s="9" t="str">
        <f>IF(ISNUMBER(Output!C131),IF(Output!C131&gt;=12,IFERROR(ROUND(INT(Output!C131)/12,0)&amp;"'-"&amp;INT(ROUND((Output!C131/12-INT(Output!C131/12))*12,2))&amp;" "&amp;IF(MROUND(ROUND((Output!C131/12-INT(Output!C131/12))*12,3)-INT(ROUND((Output!C131/12-INT(Output!C131/12))*12,3)),1/8)=0,"",VLOOKUP(MROUND((Output!C131/12-INT(Output!C131/12))*12-INT((Output!C131/12-INT(Output!C131/12))*12),1/8),fract[],2,FALSE))&amp;"''",""),IFERROR(INT(Output!C131)&amp;" "&amp;IF(MROUND((Output!C131-INT(Output!C131)),1/8)=0,"",VLOOKUP(MROUND((Output!C131-INT(Output!C131)),1/8),fract[],2,FALSE))&amp;"''","")),"")</f>
        <v/>
      </c>
      <c r="D132" s="9" t="str">
        <f>IF(ISNUMBER(Output!D131),IFERROR(ROUND(INT(Output!D131/12),3)&amp;"'-"&amp;INT(ROUND((Output!D131/12-INT(Output!D131/12))*12,3))&amp;" "&amp;IF(MROUND(ROUND((Output!D131/12-INT(Output!D131/12))*12,3)-INT(ROUND((Output!D131/12-INT(Output!D131/12))*12,3)),1/8)=0,"",VLOOKUP(MROUND((Output!D131/12-INT(Output!D131/12))*12-INT((Output!D131/12-INT(Output!D131/12))*12),1/8),fract[],2,FALSE))&amp;"''",""),"")</f>
        <v/>
      </c>
      <c r="E132" s="9" t="str">
        <f>IF(ISNUMBER(Output!E131),IF(Output!E131&gt;=12,IFERROR(ROUND(INT(Output!E131)/12,0)&amp;"'-"&amp;INT(ROUND((Output!E131/12-INT(Output!E131/12))*12,2))&amp;" "&amp;IF(MROUND(ROUND((Output!E131/12-INT(Output!E131/12))*12,3)-INT(ROUND((Output!E131/12-INT(Output!E131/12))*12,3)),1/8)=0,"",VLOOKUP(MROUND((Output!E131/12-INT(Output!E131/12))*12-INT((Output!E131/12-INT(Output!E131/12))*12),1/8),fract[],2,FALSE))&amp;"''",""),IFERROR(INT(Output!E131)&amp;" "&amp;IF(MROUND((Output!E131-INT(Output!E131)),1/8)=0,"",VLOOKUP(MROUND((Output!E131-INT(Output!E131)),1/8),fract[],2,FALSE))&amp;"''","")),"")</f>
        <v/>
      </c>
      <c r="F132" s="8"/>
      <c r="G132" s="8"/>
      <c r="H132" s="9" t="str">
        <f t="shared" si="2"/>
        <v/>
      </c>
      <c r="I132" s="9" t="str">
        <f t="shared" si="3"/>
        <v/>
      </c>
      <c r="J132" s="12" t="str">
        <f>IF(ISNUMBER(Output!F131),Output!F131,"")</f>
        <v/>
      </c>
      <c r="K132" s="12" t="str">
        <f>IF(ISNUMBER(Output!G131),Output!G131,"")</f>
        <v/>
      </c>
    </row>
    <row r="133" spans="1:11" ht="18" customHeight="1" x14ac:dyDescent="0.25">
      <c r="A133" s="9" t="str">
        <f>IF(ISBLANK(Output!A132),"",Output!A132)</f>
        <v/>
      </c>
      <c r="B133" s="9" t="str">
        <f>IF(ISBLANK(Output!B132),"",Output!B132)</f>
        <v/>
      </c>
      <c r="C133" s="9" t="str">
        <f>IF(ISNUMBER(Output!C132),IF(Output!C132&gt;=12,IFERROR(ROUND(INT(Output!C132)/12,0)&amp;"'-"&amp;INT(ROUND((Output!C132/12-INT(Output!C132/12))*12,2))&amp;" "&amp;IF(MROUND(ROUND((Output!C132/12-INT(Output!C132/12))*12,3)-INT(ROUND((Output!C132/12-INT(Output!C132/12))*12,3)),1/8)=0,"",VLOOKUP(MROUND((Output!C132/12-INT(Output!C132/12))*12-INT((Output!C132/12-INT(Output!C132/12))*12),1/8),fract[],2,FALSE))&amp;"''",""),IFERROR(INT(Output!C132)&amp;" "&amp;IF(MROUND((Output!C132-INT(Output!C132)),1/8)=0,"",VLOOKUP(MROUND((Output!C132-INT(Output!C132)),1/8),fract[],2,FALSE))&amp;"''","")),"")</f>
        <v/>
      </c>
      <c r="D133" s="9" t="str">
        <f>IF(ISNUMBER(Output!D132),IFERROR(ROUND(INT(Output!D132/12),3)&amp;"'-"&amp;INT(ROUND((Output!D132/12-INT(Output!D132/12))*12,3))&amp;" "&amp;IF(MROUND(ROUND((Output!D132/12-INT(Output!D132/12))*12,3)-INT(ROUND((Output!D132/12-INT(Output!D132/12))*12,3)),1/8)=0,"",VLOOKUP(MROUND((Output!D132/12-INT(Output!D132/12))*12-INT((Output!D132/12-INT(Output!D132/12))*12),1/8),fract[],2,FALSE))&amp;"''",""),"")</f>
        <v/>
      </c>
      <c r="E133" s="9" t="str">
        <f>IF(ISNUMBER(Output!E132),IF(Output!E132&gt;=12,IFERROR(ROUND(INT(Output!E132)/12,0)&amp;"'-"&amp;INT(ROUND((Output!E132/12-INT(Output!E132/12))*12,2))&amp;" "&amp;IF(MROUND(ROUND((Output!E132/12-INT(Output!E132/12))*12,3)-INT(ROUND((Output!E132/12-INT(Output!E132/12))*12,3)),1/8)=0,"",VLOOKUP(MROUND((Output!E132/12-INT(Output!E132/12))*12-INT((Output!E132/12-INT(Output!E132/12))*12),1/8),fract[],2,FALSE))&amp;"''",""),IFERROR(INT(Output!E132)&amp;" "&amp;IF(MROUND((Output!E132-INT(Output!E132)),1/8)=0,"",VLOOKUP(MROUND((Output!E132-INT(Output!E132)),1/8),fract[],2,FALSE))&amp;"''","")),"")</f>
        <v/>
      </c>
      <c r="F133" s="8"/>
      <c r="G133" s="8"/>
      <c r="H133" s="9" t="str">
        <f t="shared" ref="H133:H196" si="4">A133</f>
        <v/>
      </c>
      <c r="I133" s="9" t="str">
        <f t="shared" ref="I133:I196" si="5">B133</f>
        <v/>
      </c>
      <c r="J133" s="12" t="str">
        <f>IF(ISNUMBER(Output!F132),Output!F132,"")</f>
        <v/>
      </c>
      <c r="K133" s="12" t="str">
        <f>IF(ISNUMBER(Output!G132),Output!G132,"")</f>
        <v/>
      </c>
    </row>
    <row r="134" spans="1:11" ht="18" customHeight="1" x14ac:dyDescent="0.25">
      <c r="A134" s="9" t="str">
        <f>IF(ISBLANK(Output!A133),"",Output!A133)</f>
        <v/>
      </c>
      <c r="B134" s="9" t="str">
        <f>IF(ISBLANK(Output!B133),"",Output!B133)</f>
        <v/>
      </c>
      <c r="C134" s="9" t="str">
        <f>IF(ISNUMBER(Output!C133),IF(Output!C133&gt;=12,IFERROR(ROUND(INT(Output!C133)/12,0)&amp;"'-"&amp;INT(ROUND((Output!C133/12-INT(Output!C133/12))*12,2))&amp;" "&amp;IF(MROUND(ROUND((Output!C133/12-INT(Output!C133/12))*12,3)-INT(ROUND((Output!C133/12-INT(Output!C133/12))*12,3)),1/8)=0,"",VLOOKUP(MROUND((Output!C133/12-INT(Output!C133/12))*12-INT((Output!C133/12-INT(Output!C133/12))*12),1/8),fract[],2,FALSE))&amp;"''",""),IFERROR(INT(Output!C133)&amp;" "&amp;IF(MROUND((Output!C133-INT(Output!C133)),1/8)=0,"",VLOOKUP(MROUND((Output!C133-INT(Output!C133)),1/8),fract[],2,FALSE))&amp;"''","")),"")</f>
        <v/>
      </c>
      <c r="D134" s="9" t="str">
        <f>IF(ISNUMBER(Output!D133),IFERROR(ROUND(INT(Output!D133/12),3)&amp;"'-"&amp;INT(ROUND((Output!D133/12-INT(Output!D133/12))*12,3))&amp;" "&amp;IF(MROUND(ROUND((Output!D133/12-INT(Output!D133/12))*12,3)-INT(ROUND((Output!D133/12-INT(Output!D133/12))*12,3)),1/8)=0,"",VLOOKUP(MROUND((Output!D133/12-INT(Output!D133/12))*12-INT((Output!D133/12-INT(Output!D133/12))*12),1/8),fract[],2,FALSE))&amp;"''",""),"")</f>
        <v/>
      </c>
      <c r="E134" s="9" t="str">
        <f>IF(ISNUMBER(Output!E133),IF(Output!E133&gt;=12,IFERROR(ROUND(INT(Output!E133)/12,0)&amp;"'-"&amp;INT(ROUND((Output!E133/12-INT(Output!E133/12))*12,2))&amp;" "&amp;IF(MROUND(ROUND((Output!E133/12-INT(Output!E133/12))*12,3)-INT(ROUND((Output!E133/12-INT(Output!E133/12))*12,3)),1/8)=0,"",VLOOKUP(MROUND((Output!E133/12-INT(Output!E133/12))*12-INT((Output!E133/12-INT(Output!E133/12))*12),1/8),fract[],2,FALSE))&amp;"''",""),IFERROR(INT(Output!E133)&amp;" "&amp;IF(MROUND((Output!E133-INT(Output!E133)),1/8)=0,"",VLOOKUP(MROUND((Output!E133-INT(Output!E133)),1/8),fract[],2,FALSE))&amp;"''","")),"")</f>
        <v/>
      </c>
      <c r="F134" s="8"/>
      <c r="G134" s="8"/>
      <c r="H134" s="9" t="str">
        <f t="shared" si="4"/>
        <v/>
      </c>
      <c r="I134" s="9" t="str">
        <f t="shared" si="5"/>
        <v/>
      </c>
      <c r="J134" s="12" t="str">
        <f>IF(ISNUMBER(Output!F133),Output!F133,"")</f>
        <v/>
      </c>
      <c r="K134" s="12" t="str">
        <f>IF(ISNUMBER(Output!G133),Output!G133,"")</f>
        <v/>
      </c>
    </row>
    <row r="135" spans="1:11" ht="18" customHeight="1" x14ac:dyDescent="0.25">
      <c r="A135" s="9" t="str">
        <f>IF(ISBLANK(Output!A134),"",Output!A134)</f>
        <v/>
      </c>
      <c r="B135" s="9" t="str">
        <f>IF(ISBLANK(Output!B134),"",Output!B134)</f>
        <v/>
      </c>
      <c r="C135" s="9" t="str">
        <f>IF(ISNUMBER(Output!C134),IF(Output!C134&gt;=12,IFERROR(ROUND(INT(Output!C134)/12,0)&amp;"'-"&amp;INT(ROUND((Output!C134/12-INT(Output!C134/12))*12,2))&amp;" "&amp;IF(MROUND(ROUND((Output!C134/12-INT(Output!C134/12))*12,3)-INT(ROUND((Output!C134/12-INT(Output!C134/12))*12,3)),1/8)=0,"",VLOOKUP(MROUND((Output!C134/12-INT(Output!C134/12))*12-INT((Output!C134/12-INT(Output!C134/12))*12),1/8),fract[],2,FALSE))&amp;"''",""),IFERROR(INT(Output!C134)&amp;" "&amp;IF(MROUND((Output!C134-INT(Output!C134)),1/8)=0,"",VLOOKUP(MROUND((Output!C134-INT(Output!C134)),1/8),fract[],2,FALSE))&amp;"''","")),"")</f>
        <v/>
      </c>
      <c r="D135" s="9" t="str">
        <f>IF(ISNUMBER(Output!D134),IFERROR(ROUND(INT(Output!D134/12),3)&amp;"'-"&amp;INT(ROUND((Output!D134/12-INT(Output!D134/12))*12,3))&amp;" "&amp;IF(MROUND(ROUND((Output!D134/12-INT(Output!D134/12))*12,3)-INT(ROUND((Output!D134/12-INT(Output!D134/12))*12,3)),1/8)=0,"",VLOOKUP(MROUND((Output!D134/12-INT(Output!D134/12))*12-INT((Output!D134/12-INT(Output!D134/12))*12),1/8),fract[],2,FALSE))&amp;"''",""),"")</f>
        <v/>
      </c>
      <c r="E135" s="9" t="str">
        <f>IF(ISNUMBER(Output!E134),IF(Output!E134&gt;=12,IFERROR(ROUND(INT(Output!E134)/12,0)&amp;"'-"&amp;INT(ROUND((Output!E134/12-INT(Output!E134/12))*12,2))&amp;" "&amp;IF(MROUND(ROUND((Output!E134/12-INT(Output!E134/12))*12,3)-INT(ROUND((Output!E134/12-INT(Output!E134/12))*12,3)),1/8)=0,"",VLOOKUP(MROUND((Output!E134/12-INT(Output!E134/12))*12-INT((Output!E134/12-INT(Output!E134/12))*12),1/8),fract[],2,FALSE))&amp;"''",""),IFERROR(INT(Output!E134)&amp;" "&amp;IF(MROUND((Output!E134-INT(Output!E134)),1/8)=0,"",VLOOKUP(MROUND((Output!E134-INT(Output!E134)),1/8),fract[],2,FALSE))&amp;"''","")),"")</f>
        <v/>
      </c>
      <c r="F135" s="8"/>
      <c r="G135" s="8"/>
      <c r="H135" s="9" t="str">
        <f t="shared" si="4"/>
        <v/>
      </c>
      <c r="I135" s="9" t="str">
        <f t="shared" si="5"/>
        <v/>
      </c>
      <c r="J135" s="12" t="str">
        <f>IF(ISNUMBER(Output!F134),Output!F134,"")</f>
        <v/>
      </c>
      <c r="K135" s="12" t="str">
        <f>IF(ISNUMBER(Output!G134),Output!G134,"")</f>
        <v/>
      </c>
    </row>
    <row r="136" spans="1:11" ht="18" customHeight="1" x14ac:dyDescent="0.25">
      <c r="A136" s="9" t="str">
        <f>IF(ISBLANK(Output!A135),"",Output!A135)</f>
        <v/>
      </c>
      <c r="B136" s="9" t="str">
        <f>IF(ISBLANK(Output!B135),"",Output!B135)</f>
        <v/>
      </c>
      <c r="C136" s="9" t="str">
        <f>IF(ISNUMBER(Output!C135),IF(Output!C135&gt;=12,IFERROR(ROUND(INT(Output!C135)/12,0)&amp;"'-"&amp;INT(ROUND((Output!C135/12-INT(Output!C135/12))*12,2))&amp;" "&amp;IF(MROUND(ROUND((Output!C135/12-INT(Output!C135/12))*12,3)-INT(ROUND((Output!C135/12-INT(Output!C135/12))*12,3)),1/8)=0,"",VLOOKUP(MROUND((Output!C135/12-INT(Output!C135/12))*12-INT((Output!C135/12-INT(Output!C135/12))*12),1/8),fract[],2,FALSE))&amp;"''",""),IFERROR(INT(Output!C135)&amp;" "&amp;IF(MROUND((Output!C135-INT(Output!C135)),1/8)=0,"",VLOOKUP(MROUND((Output!C135-INT(Output!C135)),1/8),fract[],2,FALSE))&amp;"''","")),"")</f>
        <v/>
      </c>
      <c r="D136" s="9" t="str">
        <f>IF(ISNUMBER(Output!D135),IFERROR(ROUND(INT(Output!D135/12),3)&amp;"'-"&amp;INT(ROUND((Output!D135/12-INT(Output!D135/12))*12,3))&amp;" "&amp;IF(MROUND(ROUND((Output!D135/12-INT(Output!D135/12))*12,3)-INT(ROUND((Output!D135/12-INT(Output!D135/12))*12,3)),1/8)=0,"",VLOOKUP(MROUND((Output!D135/12-INT(Output!D135/12))*12-INT((Output!D135/12-INT(Output!D135/12))*12),1/8),fract[],2,FALSE))&amp;"''",""),"")</f>
        <v/>
      </c>
      <c r="E136" s="9" t="str">
        <f>IF(ISNUMBER(Output!E135),IF(Output!E135&gt;=12,IFERROR(ROUND(INT(Output!E135)/12,0)&amp;"'-"&amp;INT(ROUND((Output!E135/12-INT(Output!E135/12))*12,2))&amp;" "&amp;IF(MROUND(ROUND((Output!E135/12-INT(Output!E135/12))*12,3)-INT(ROUND((Output!E135/12-INT(Output!E135/12))*12,3)),1/8)=0,"",VLOOKUP(MROUND((Output!E135/12-INT(Output!E135/12))*12-INT((Output!E135/12-INT(Output!E135/12))*12),1/8),fract[],2,FALSE))&amp;"''",""),IFERROR(INT(Output!E135)&amp;" "&amp;IF(MROUND((Output!E135-INT(Output!E135)),1/8)=0,"",VLOOKUP(MROUND((Output!E135-INT(Output!E135)),1/8),fract[],2,FALSE))&amp;"''","")),"")</f>
        <v/>
      </c>
      <c r="F136" s="8"/>
      <c r="G136" s="8"/>
      <c r="H136" s="9" t="str">
        <f t="shared" si="4"/>
        <v/>
      </c>
      <c r="I136" s="9" t="str">
        <f t="shared" si="5"/>
        <v/>
      </c>
      <c r="J136" s="12" t="str">
        <f>IF(ISNUMBER(Output!F135),Output!F135,"")</f>
        <v/>
      </c>
      <c r="K136" s="12" t="str">
        <f>IF(ISNUMBER(Output!G135),Output!G135,"")</f>
        <v/>
      </c>
    </row>
    <row r="137" spans="1:11" ht="18" customHeight="1" x14ac:dyDescent="0.25">
      <c r="A137" s="9" t="str">
        <f>IF(ISBLANK(Output!A136),"",Output!A136)</f>
        <v/>
      </c>
      <c r="B137" s="9" t="str">
        <f>IF(ISBLANK(Output!B136),"",Output!B136)</f>
        <v/>
      </c>
      <c r="C137" s="9" t="str">
        <f>IF(ISNUMBER(Output!C136),IF(Output!C136&gt;=12,IFERROR(ROUND(INT(Output!C136)/12,0)&amp;"'-"&amp;INT(ROUND((Output!C136/12-INT(Output!C136/12))*12,2))&amp;" "&amp;IF(MROUND(ROUND((Output!C136/12-INT(Output!C136/12))*12,3)-INT(ROUND((Output!C136/12-INT(Output!C136/12))*12,3)),1/8)=0,"",VLOOKUP(MROUND((Output!C136/12-INT(Output!C136/12))*12-INT((Output!C136/12-INT(Output!C136/12))*12),1/8),fract[],2,FALSE))&amp;"''",""),IFERROR(INT(Output!C136)&amp;" "&amp;IF(MROUND((Output!C136-INT(Output!C136)),1/8)=0,"",VLOOKUP(MROUND((Output!C136-INT(Output!C136)),1/8),fract[],2,FALSE))&amp;"''","")),"")</f>
        <v/>
      </c>
      <c r="D137" s="9" t="str">
        <f>IF(ISNUMBER(Output!D136),IFERROR(ROUND(INT(Output!D136/12),3)&amp;"'-"&amp;INT(ROUND((Output!D136/12-INT(Output!D136/12))*12,3))&amp;" "&amp;IF(MROUND(ROUND((Output!D136/12-INT(Output!D136/12))*12,3)-INT(ROUND((Output!D136/12-INT(Output!D136/12))*12,3)),1/8)=0,"",VLOOKUP(MROUND((Output!D136/12-INT(Output!D136/12))*12-INT((Output!D136/12-INT(Output!D136/12))*12),1/8),fract[],2,FALSE))&amp;"''",""),"")</f>
        <v/>
      </c>
      <c r="E137" s="9" t="str">
        <f>IF(ISNUMBER(Output!E136),IF(Output!E136&gt;=12,IFERROR(ROUND(INT(Output!E136)/12,0)&amp;"'-"&amp;INT(ROUND((Output!E136/12-INT(Output!E136/12))*12,2))&amp;" "&amp;IF(MROUND(ROUND((Output!E136/12-INT(Output!E136/12))*12,3)-INT(ROUND((Output!E136/12-INT(Output!E136/12))*12,3)),1/8)=0,"",VLOOKUP(MROUND((Output!E136/12-INT(Output!E136/12))*12-INT((Output!E136/12-INT(Output!E136/12))*12),1/8),fract[],2,FALSE))&amp;"''",""),IFERROR(INT(Output!E136)&amp;" "&amp;IF(MROUND((Output!E136-INT(Output!E136)),1/8)=0,"",VLOOKUP(MROUND((Output!E136-INT(Output!E136)),1/8),fract[],2,FALSE))&amp;"''","")),"")</f>
        <v/>
      </c>
      <c r="F137" s="8"/>
      <c r="G137" s="8"/>
      <c r="H137" s="9" t="str">
        <f t="shared" si="4"/>
        <v/>
      </c>
      <c r="I137" s="9" t="str">
        <f t="shared" si="5"/>
        <v/>
      </c>
      <c r="J137" s="12" t="str">
        <f>IF(ISNUMBER(Output!F136),Output!F136,"")</f>
        <v/>
      </c>
      <c r="K137" s="12" t="str">
        <f>IF(ISNUMBER(Output!G136),Output!G136,"")</f>
        <v/>
      </c>
    </row>
    <row r="138" spans="1:11" ht="18" customHeight="1" x14ac:dyDescent="0.25">
      <c r="A138" s="9" t="str">
        <f>IF(ISBLANK(Output!A137),"",Output!A137)</f>
        <v/>
      </c>
      <c r="B138" s="9" t="str">
        <f>IF(ISBLANK(Output!B137),"",Output!B137)</f>
        <v/>
      </c>
      <c r="C138" s="9" t="str">
        <f>IF(ISNUMBER(Output!C137),IF(Output!C137&gt;=12,IFERROR(ROUND(INT(Output!C137)/12,0)&amp;"'-"&amp;INT(ROUND((Output!C137/12-INT(Output!C137/12))*12,2))&amp;" "&amp;IF(MROUND(ROUND((Output!C137/12-INT(Output!C137/12))*12,3)-INT(ROUND((Output!C137/12-INT(Output!C137/12))*12,3)),1/8)=0,"",VLOOKUP(MROUND((Output!C137/12-INT(Output!C137/12))*12-INT((Output!C137/12-INT(Output!C137/12))*12),1/8),fract[],2,FALSE))&amp;"''",""),IFERROR(INT(Output!C137)&amp;" "&amp;IF(MROUND((Output!C137-INT(Output!C137)),1/8)=0,"",VLOOKUP(MROUND((Output!C137-INT(Output!C137)),1/8),fract[],2,FALSE))&amp;"''","")),"")</f>
        <v/>
      </c>
      <c r="D138" s="9" t="str">
        <f>IF(ISNUMBER(Output!D137),IFERROR(ROUND(INT(Output!D137/12),3)&amp;"'-"&amp;INT(ROUND((Output!D137/12-INT(Output!D137/12))*12,3))&amp;" "&amp;IF(MROUND(ROUND((Output!D137/12-INT(Output!D137/12))*12,3)-INT(ROUND((Output!D137/12-INT(Output!D137/12))*12,3)),1/8)=0,"",VLOOKUP(MROUND((Output!D137/12-INT(Output!D137/12))*12-INT((Output!D137/12-INT(Output!D137/12))*12),1/8),fract[],2,FALSE))&amp;"''",""),"")</f>
        <v/>
      </c>
      <c r="E138" s="9" t="str">
        <f>IF(ISNUMBER(Output!E137),IF(Output!E137&gt;=12,IFERROR(ROUND(INT(Output!E137)/12,0)&amp;"'-"&amp;INT(ROUND((Output!E137/12-INT(Output!E137/12))*12,2))&amp;" "&amp;IF(MROUND(ROUND((Output!E137/12-INT(Output!E137/12))*12,3)-INT(ROUND((Output!E137/12-INT(Output!E137/12))*12,3)),1/8)=0,"",VLOOKUP(MROUND((Output!E137/12-INT(Output!E137/12))*12-INT((Output!E137/12-INT(Output!E137/12))*12),1/8),fract[],2,FALSE))&amp;"''",""),IFERROR(INT(Output!E137)&amp;" "&amp;IF(MROUND((Output!E137-INT(Output!E137)),1/8)=0,"",VLOOKUP(MROUND((Output!E137-INT(Output!E137)),1/8),fract[],2,FALSE))&amp;"''","")),"")</f>
        <v/>
      </c>
      <c r="F138" s="8"/>
      <c r="G138" s="8"/>
      <c r="H138" s="9" t="str">
        <f t="shared" si="4"/>
        <v/>
      </c>
      <c r="I138" s="9" t="str">
        <f t="shared" si="5"/>
        <v/>
      </c>
      <c r="J138" s="12" t="str">
        <f>IF(ISNUMBER(Output!F137),Output!F137,"")</f>
        <v/>
      </c>
      <c r="K138" s="12" t="str">
        <f>IF(ISNUMBER(Output!G137),Output!G137,"")</f>
        <v/>
      </c>
    </row>
    <row r="139" spans="1:11" ht="18" customHeight="1" x14ac:dyDescent="0.25">
      <c r="A139" s="9" t="str">
        <f>IF(ISBLANK(Output!A138),"",Output!A138)</f>
        <v/>
      </c>
      <c r="B139" s="9" t="str">
        <f>IF(ISBLANK(Output!B138),"",Output!B138)</f>
        <v/>
      </c>
      <c r="C139" s="9" t="str">
        <f>IF(ISNUMBER(Output!C138),IF(Output!C138&gt;=12,IFERROR(ROUND(INT(Output!C138)/12,0)&amp;"'-"&amp;INT(ROUND((Output!C138/12-INT(Output!C138/12))*12,2))&amp;" "&amp;IF(MROUND(ROUND((Output!C138/12-INT(Output!C138/12))*12,3)-INT(ROUND((Output!C138/12-INT(Output!C138/12))*12,3)),1/8)=0,"",VLOOKUP(MROUND((Output!C138/12-INT(Output!C138/12))*12-INT((Output!C138/12-INT(Output!C138/12))*12),1/8),fract[],2,FALSE))&amp;"''",""),IFERROR(INT(Output!C138)&amp;" "&amp;IF(MROUND((Output!C138-INT(Output!C138)),1/8)=0,"",VLOOKUP(MROUND((Output!C138-INT(Output!C138)),1/8),fract[],2,FALSE))&amp;"''","")),"")</f>
        <v/>
      </c>
      <c r="D139" s="9" t="str">
        <f>IF(ISNUMBER(Output!D138),IFERROR(ROUND(INT(Output!D138/12),3)&amp;"'-"&amp;INT(ROUND((Output!D138/12-INT(Output!D138/12))*12,3))&amp;" "&amp;IF(MROUND(ROUND((Output!D138/12-INT(Output!D138/12))*12,3)-INT(ROUND((Output!D138/12-INT(Output!D138/12))*12,3)),1/8)=0,"",VLOOKUP(MROUND((Output!D138/12-INT(Output!D138/12))*12-INT((Output!D138/12-INT(Output!D138/12))*12),1/8),fract[],2,FALSE))&amp;"''",""),"")</f>
        <v/>
      </c>
      <c r="E139" s="9" t="str">
        <f>IF(ISNUMBER(Output!E138),IF(Output!E138&gt;=12,IFERROR(ROUND(INT(Output!E138)/12,0)&amp;"'-"&amp;INT(ROUND((Output!E138/12-INT(Output!E138/12))*12,2))&amp;" "&amp;IF(MROUND(ROUND((Output!E138/12-INT(Output!E138/12))*12,3)-INT(ROUND((Output!E138/12-INT(Output!E138/12))*12,3)),1/8)=0,"",VLOOKUP(MROUND((Output!E138/12-INT(Output!E138/12))*12-INT((Output!E138/12-INT(Output!E138/12))*12),1/8),fract[],2,FALSE))&amp;"''",""),IFERROR(INT(Output!E138)&amp;" "&amp;IF(MROUND((Output!E138-INT(Output!E138)),1/8)=0,"",VLOOKUP(MROUND((Output!E138-INT(Output!E138)),1/8),fract[],2,FALSE))&amp;"''","")),"")</f>
        <v/>
      </c>
      <c r="F139" s="8"/>
      <c r="G139" s="8"/>
      <c r="H139" s="9" t="str">
        <f t="shared" si="4"/>
        <v/>
      </c>
      <c r="I139" s="9" t="str">
        <f t="shared" si="5"/>
        <v/>
      </c>
      <c r="J139" s="12" t="str">
        <f>IF(ISNUMBER(Output!F138),Output!F138,"")</f>
        <v/>
      </c>
      <c r="K139" s="12" t="str">
        <f>IF(ISNUMBER(Output!G138),Output!G138,"")</f>
        <v/>
      </c>
    </row>
    <row r="140" spans="1:11" ht="18" customHeight="1" x14ac:dyDescent="0.25">
      <c r="A140" s="9" t="str">
        <f>IF(ISBLANK(Output!A139),"",Output!A139)</f>
        <v/>
      </c>
      <c r="B140" s="9" t="str">
        <f>IF(ISBLANK(Output!B139),"",Output!B139)</f>
        <v/>
      </c>
      <c r="C140" s="9" t="str">
        <f>IF(ISNUMBER(Output!C139),IF(Output!C139&gt;=12,IFERROR(ROUND(INT(Output!C139)/12,0)&amp;"'-"&amp;INT(ROUND((Output!C139/12-INT(Output!C139/12))*12,2))&amp;" "&amp;IF(MROUND(ROUND((Output!C139/12-INT(Output!C139/12))*12,3)-INT(ROUND((Output!C139/12-INT(Output!C139/12))*12,3)),1/8)=0,"",VLOOKUP(MROUND((Output!C139/12-INT(Output!C139/12))*12-INT((Output!C139/12-INT(Output!C139/12))*12),1/8),fract[],2,FALSE))&amp;"''",""),IFERROR(INT(Output!C139)&amp;" "&amp;IF(MROUND((Output!C139-INT(Output!C139)),1/8)=0,"",VLOOKUP(MROUND((Output!C139-INT(Output!C139)),1/8),fract[],2,FALSE))&amp;"''","")),"")</f>
        <v/>
      </c>
      <c r="D140" s="9" t="str">
        <f>IF(ISNUMBER(Output!D139),IFERROR(ROUND(INT(Output!D139/12),3)&amp;"'-"&amp;INT(ROUND((Output!D139/12-INT(Output!D139/12))*12,3))&amp;" "&amp;IF(MROUND(ROUND((Output!D139/12-INT(Output!D139/12))*12,3)-INT(ROUND((Output!D139/12-INT(Output!D139/12))*12,3)),1/8)=0,"",VLOOKUP(MROUND((Output!D139/12-INT(Output!D139/12))*12-INT((Output!D139/12-INT(Output!D139/12))*12),1/8),fract[],2,FALSE))&amp;"''",""),"")</f>
        <v/>
      </c>
      <c r="E140" s="9" t="str">
        <f>IF(ISNUMBER(Output!E139),IF(Output!E139&gt;=12,IFERROR(ROUND(INT(Output!E139)/12,0)&amp;"'-"&amp;INT(ROUND((Output!E139/12-INT(Output!E139/12))*12,2))&amp;" "&amp;IF(MROUND(ROUND((Output!E139/12-INT(Output!E139/12))*12,3)-INT(ROUND((Output!E139/12-INT(Output!E139/12))*12,3)),1/8)=0,"",VLOOKUP(MROUND((Output!E139/12-INT(Output!E139/12))*12-INT((Output!E139/12-INT(Output!E139/12))*12),1/8),fract[],2,FALSE))&amp;"''",""),IFERROR(INT(Output!E139)&amp;" "&amp;IF(MROUND((Output!E139-INT(Output!E139)),1/8)=0,"",VLOOKUP(MROUND((Output!E139-INT(Output!E139)),1/8),fract[],2,FALSE))&amp;"''","")),"")</f>
        <v/>
      </c>
      <c r="F140" s="8"/>
      <c r="G140" s="8"/>
      <c r="H140" s="9" t="str">
        <f t="shared" si="4"/>
        <v/>
      </c>
      <c r="I140" s="9" t="str">
        <f t="shared" si="5"/>
        <v/>
      </c>
      <c r="J140" s="12" t="str">
        <f>IF(ISNUMBER(Output!F139),Output!F139,"")</f>
        <v/>
      </c>
      <c r="K140" s="12" t="str">
        <f>IF(ISNUMBER(Output!G139),Output!G139,"")</f>
        <v/>
      </c>
    </row>
    <row r="141" spans="1:11" ht="18" customHeight="1" x14ac:dyDescent="0.25">
      <c r="A141" s="9" t="str">
        <f>IF(ISBLANK(Output!A140),"",Output!A140)</f>
        <v/>
      </c>
      <c r="B141" s="9" t="str">
        <f>IF(ISBLANK(Output!B140),"",Output!B140)</f>
        <v/>
      </c>
      <c r="C141" s="9" t="str">
        <f>IF(ISNUMBER(Output!C140),IF(Output!C140&gt;=12,IFERROR(ROUND(INT(Output!C140)/12,0)&amp;"'-"&amp;INT(ROUND((Output!C140/12-INT(Output!C140/12))*12,2))&amp;" "&amp;IF(MROUND(ROUND((Output!C140/12-INT(Output!C140/12))*12,3)-INT(ROUND((Output!C140/12-INT(Output!C140/12))*12,3)),1/8)=0,"",VLOOKUP(MROUND((Output!C140/12-INT(Output!C140/12))*12-INT((Output!C140/12-INT(Output!C140/12))*12),1/8),fract[],2,FALSE))&amp;"''",""),IFERROR(INT(Output!C140)&amp;" "&amp;IF(MROUND((Output!C140-INT(Output!C140)),1/8)=0,"",VLOOKUP(MROUND((Output!C140-INT(Output!C140)),1/8),fract[],2,FALSE))&amp;"''","")),"")</f>
        <v/>
      </c>
      <c r="D141" s="9" t="str">
        <f>IF(ISNUMBER(Output!D140),IFERROR(ROUND(INT(Output!D140/12),3)&amp;"'-"&amp;INT(ROUND((Output!D140/12-INT(Output!D140/12))*12,3))&amp;" "&amp;IF(MROUND(ROUND((Output!D140/12-INT(Output!D140/12))*12,3)-INT(ROUND((Output!D140/12-INT(Output!D140/12))*12,3)),1/8)=0,"",VLOOKUP(MROUND((Output!D140/12-INT(Output!D140/12))*12-INT((Output!D140/12-INT(Output!D140/12))*12),1/8),fract[],2,FALSE))&amp;"''",""),"")</f>
        <v/>
      </c>
      <c r="E141" s="9" t="str">
        <f>IF(ISNUMBER(Output!E140),IF(Output!E140&gt;=12,IFERROR(ROUND(INT(Output!E140)/12,0)&amp;"'-"&amp;INT(ROUND((Output!E140/12-INT(Output!E140/12))*12,2))&amp;" "&amp;IF(MROUND(ROUND((Output!E140/12-INT(Output!E140/12))*12,3)-INT(ROUND((Output!E140/12-INT(Output!E140/12))*12,3)),1/8)=0,"",VLOOKUP(MROUND((Output!E140/12-INT(Output!E140/12))*12-INT((Output!E140/12-INT(Output!E140/12))*12),1/8),fract[],2,FALSE))&amp;"''",""),IFERROR(INT(Output!E140)&amp;" "&amp;IF(MROUND((Output!E140-INT(Output!E140)),1/8)=0,"",VLOOKUP(MROUND((Output!E140-INT(Output!E140)),1/8),fract[],2,FALSE))&amp;"''","")),"")</f>
        <v/>
      </c>
      <c r="F141" s="8"/>
      <c r="G141" s="8"/>
      <c r="H141" s="9" t="str">
        <f t="shared" si="4"/>
        <v/>
      </c>
      <c r="I141" s="9" t="str">
        <f t="shared" si="5"/>
        <v/>
      </c>
      <c r="J141" s="12" t="str">
        <f>IF(ISNUMBER(Output!F140),Output!F140,"")</f>
        <v/>
      </c>
      <c r="K141" s="12" t="str">
        <f>IF(ISNUMBER(Output!G140),Output!G140,"")</f>
        <v/>
      </c>
    </row>
    <row r="142" spans="1:11" ht="18" customHeight="1" x14ac:dyDescent="0.25">
      <c r="A142" s="9" t="str">
        <f>IF(ISBLANK(Output!A141),"",Output!A141)</f>
        <v/>
      </c>
      <c r="B142" s="9" t="str">
        <f>IF(ISBLANK(Output!B141),"",Output!B141)</f>
        <v/>
      </c>
      <c r="C142" s="9" t="str">
        <f>IF(ISNUMBER(Output!C141),IF(Output!C141&gt;=12,IFERROR(ROUND(INT(Output!C141)/12,0)&amp;"'-"&amp;INT(ROUND((Output!C141/12-INT(Output!C141/12))*12,2))&amp;" "&amp;IF(MROUND(ROUND((Output!C141/12-INT(Output!C141/12))*12,3)-INT(ROUND((Output!C141/12-INT(Output!C141/12))*12,3)),1/8)=0,"",VLOOKUP(MROUND((Output!C141/12-INT(Output!C141/12))*12-INT((Output!C141/12-INT(Output!C141/12))*12),1/8),fract[],2,FALSE))&amp;"''",""),IFERROR(INT(Output!C141)&amp;" "&amp;IF(MROUND((Output!C141-INT(Output!C141)),1/8)=0,"",VLOOKUP(MROUND((Output!C141-INT(Output!C141)),1/8),fract[],2,FALSE))&amp;"''","")),"")</f>
        <v/>
      </c>
      <c r="D142" s="9" t="str">
        <f>IF(ISNUMBER(Output!D141),IFERROR(ROUND(INT(Output!D141/12),3)&amp;"'-"&amp;INT(ROUND((Output!D141/12-INT(Output!D141/12))*12,3))&amp;" "&amp;IF(MROUND(ROUND((Output!D141/12-INT(Output!D141/12))*12,3)-INT(ROUND((Output!D141/12-INT(Output!D141/12))*12,3)),1/8)=0,"",VLOOKUP(MROUND((Output!D141/12-INT(Output!D141/12))*12-INT((Output!D141/12-INT(Output!D141/12))*12),1/8),fract[],2,FALSE))&amp;"''",""),"")</f>
        <v/>
      </c>
      <c r="E142" s="9" t="str">
        <f>IF(ISNUMBER(Output!E141),IF(Output!E141&gt;=12,IFERROR(ROUND(INT(Output!E141)/12,0)&amp;"'-"&amp;INT(ROUND((Output!E141/12-INT(Output!E141/12))*12,2))&amp;" "&amp;IF(MROUND(ROUND((Output!E141/12-INT(Output!E141/12))*12,3)-INT(ROUND((Output!E141/12-INT(Output!E141/12))*12,3)),1/8)=0,"",VLOOKUP(MROUND((Output!E141/12-INT(Output!E141/12))*12-INT((Output!E141/12-INT(Output!E141/12))*12),1/8),fract[],2,FALSE))&amp;"''",""),IFERROR(INT(Output!E141)&amp;" "&amp;IF(MROUND((Output!E141-INT(Output!E141)),1/8)=0,"",VLOOKUP(MROUND((Output!E141-INT(Output!E141)),1/8),fract[],2,FALSE))&amp;"''","")),"")</f>
        <v/>
      </c>
      <c r="F142" s="8"/>
      <c r="G142" s="8"/>
      <c r="H142" s="9" t="str">
        <f t="shared" si="4"/>
        <v/>
      </c>
      <c r="I142" s="9" t="str">
        <f t="shared" si="5"/>
        <v/>
      </c>
      <c r="J142" s="12" t="str">
        <f>IF(ISNUMBER(Output!F141),Output!F141,"")</f>
        <v/>
      </c>
      <c r="K142" s="12" t="str">
        <f>IF(ISNUMBER(Output!G141),Output!G141,"")</f>
        <v/>
      </c>
    </row>
    <row r="143" spans="1:11" ht="18" customHeight="1" x14ac:dyDescent="0.25">
      <c r="A143" s="9" t="str">
        <f>IF(ISBLANK(Output!A142),"",Output!A142)</f>
        <v/>
      </c>
      <c r="B143" s="9" t="str">
        <f>IF(ISBLANK(Output!B142),"",Output!B142)</f>
        <v/>
      </c>
      <c r="C143" s="9" t="str">
        <f>IF(ISNUMBER(Output!C142),IF(Output!C142&gt;=12,IFERROR(ROUND(INT(Output!C142)/12,0)&amp;"'-"&amp;INT(ROUND((Output!C142/12-INT(Output!C142/12))*12,2))&amp;" "&amp;IF(MROUND(ROUND((Output!C142/12-INT(Output!C142/12))*12,3)-INT(ROUND((Output!C142/12-INT(Output!C142/12))*12,3)),1/8)=0,"",VLOOKUP(MROUND((Output!C142/12-INT(Output!C142/12))*12-INT((Output!C142/12-INT(Output!C142/12))*12),1/8),fract[],2,FALSE))&amp;"''",""),IFERROR(INT(Output!C142)&amp;" "&amp;IF(MROUND((Output!C142-INT(Output!C142)),1/8)=0,"",VLOOKUP(MROUND((Output!C142-INT(Output!C142)),1/8),fract[],2,FALSE))&amp;"''","")),"")</f>
        <v/>
      </c>
      <c r="D143" s="9" t="str">
        <f>IF(ISNUMBER(Output!D142),IFERROR(ROUND(INT(Output!D142/12),3)&amp;"'-"&amp;INT(ROUND((Output!D142/12-INT(Output!D142/12))*12,3))&amp;" "&amp;IF(MROUND(ROUND((Output!D142/12-INT(Output!D142/12))*12,3)-INT(ROUND((Output!D142/12-INT(Output!D142/12))*12,3)),1/8)=0,"",VLOOKUP(MROUND((Output!D142/12-INT(Output!D142/12))*12-INT((Output!D142/12-INT(Output!D142/12))*12),1/8),fract[],2,FALSE))&amp;"''",""),"")</f>
        <v/>
      </c>
      <c r="E143" s="9" t="str">
        <f>IF(ISNUMBER(Output!E142),IF(Output!E142&gt;=12,IFERROR(ROUND(INT(Output!E142)/12,0)&amp;"'-"&amp;INT(ROUND((Output!E142/12-INT(Output!E142/12))*12,2))&amp;" "&amp;IF(MROUND(ROUND((Output!E142/12-INT(Output!E142/12))*12,3)-INT(ROUND((Output!E142/12-INT(Output!E142/12))*12,3)),1/8)=0,"",VLOOKUP(MROUND((Output!E142/12-INT(Output!E142/12))*12-INT((Output!E142/12-INT(Output!E142/12))*12),1/8),fract[],2,FALSE))&amp;"''",""),IFERROR(INT(Output!E142)&amp;" "&amp;IF(MROUND((Output!E142-INT(Output!E142)),1/8)=0,"",VLOOKUP(MROUND((Output!E142-INT(Output!E142)),1/8),fract[],2,FALSE))&amp;"''","")),"")</f>
        <v/>
      </c>
      <c r="F143" s="8"/>
      <c r="G143" s="8"/>
      <c r="H143" s="9" t="str">
        <f t="shared" si="4"/>
        <v/>
      </c>
      <c r="I143" s="9" t="str">
        <f t="shared" si="5"/>
        <v/>
      </c>
      <c r="J143" s="12" t="str">
        <f>IF(ISNUMBER(Output!F142),Output!F142,"")</f>
        <v/>
      </c>
      <c r="K143" s="12" t="str">
        <f>IF(ISNUMBER(Output!G142),Output!G142,"")</f>
        <v/>
      </c>
    </row>
    <row r="144" spans="1:11" ht="18" customHeight="1" x14ac:dyDescent="0.25">
      <c r="A144" s="9" t="str">
        <f>IF(ISBLANK(Output!A143),"",Output!A143)</f>
        <v/>
      </c>
      <c r="B144" s="9" t="str">
        <f>IF(ISBLANK(Output!B143),"",Output!B143)</f>
        <v/>
      </c>
      <c r="C144" s="9" t="str">
        <f>IF(ISNUMBER(Output!C143),IF(Output!C143&gt;=12,IFERROR(ROUND(INT(Output!C143)/12,0)&amp;"'-"&amp;INT(ROUND((Output!C143/12-INT(Output!C143/12))*12,2))&amp;" "&amp;IF(MROUND(ROUND((Output!C143/12-INT(Output!C143/12))*12,3)-INT(ROUND((Output!C143/12-INT(Output!C143/12))*12,3)),1/8)=0,"",VLOOKUP(MROUND((Output!C143/12-INT(Output!C143/12))*12-INT((Output!C143/12-INT(Output!C143/12))*12),1/8),fract[],2,FALSE))&amp;"''",""),IFERROR(INT(Output!C143)&amp;" "&amp;IF(MROUND((Output!C143-INT(Output!C143)),1/8)=0,"",VLOOKUP(MROUND((Output!C143-INT(Output!C143)),1/8),fract[],2,FALSE))&amp;"''","")),"")</f>
        <v/>
      </c>
      <c r="D144" s="9" t="str">
        <f>IF(ISNUMBER(Output!D143),IFERROR(ROUND(INT(Output!D143/12),3)&amp;"'-"&amp;INT(ROUND((Output!D143/12-INT(Output!D143/12))*12,3))&amp;" "&amp;IF(MROUND(ROUND((Output!D143/12-INT(Output!D143/12))*12,3)-INT(ROUND((Output!D143/12-INT(Output!D143/12))*12,3)),1/8)=0,"",VLOOKUP(MROUND((Output!D143/12-INT(Output!D143/12))*12-INT((Output!D143/12-INT(Output!D143/12))*12),1/8),fract[],2,FALSE))&amp;"''",""),"")</f>
        <v/>
      </c>
      <c r="E144" s="9" t="str">
        <f>IF(ISNUMBER(Output!E143),IF(Output!E143&gt;=12,IFERROR(ROUND(INT(Output!E143)/12,0)&amp;"'-"&amp;INT(ROUND((Output!E143/12-INT(Output!E143/12))*12,2))&amp;" "&amp;IF(MROUND(ROUND((Output!E143/12-INT(Output!E143/12))*12,3)-INT(ROUND((Output!E143/12-INT(Output!E143/12))*12,3)),1/8)=0,"",VLOOKUP(MROUND((Output!E143/12-INT(Output!E143/12))*12-INT((Output!E143/12-INT(Output!E143/12))*12),1/8),fract[],2,FALSE))&amp;"''",""),IFERROR(INT(Output!E143)&amp;" "&amp;IF(MROUND((Output!E143-INT(Output!E143)),1/8)=0,"",VLOOKUP(MROUND((Output!E143-INT(Output!E143)),1/8),fract[],2,FALSE))&amp;"''","")),"")</f>
        <v/>
      </c>
      <c r="F144" s="8"/>
      <c r="G144" s="8"/>
      <c r="H144" s="9" t="str">
        <f t="shared" si="4"/>
        <v/>
      </c>
      <c r="I144" s="9" t="str">
        <f t="shared" si="5"/>
        <v/>
      </c>
      <c r="J144" s="12" t="str">
        <f>IF(ISNUMBER(Output!F143),Output!F143,"")</f>
        <v/>
      </c>
      <c r="K144" s="12" t="str">
        <f>IF(ISNUMBER(Output!G143),Output!G143,"")</f>
        <v/>
      </c>
    </row>
    <row r="145" spans="1:11" ht="18" customHeight="1" x14ac:dyDescent="0.25">
      <c r="A145" s="9" t="str">
        <f>IF(ISBLANK(Output!A144),"",Output!A144)</f>
        <v/>
      </c>
      <c r="B145" s="9" t="str">
        <f>IF(ISBLANK(Output!B144),"",Output!B144)</f>
        <v/>
      </c>
      <c r="C145" s="9" t="str">
        <f>IF(ISNUMBER(Output!C144),IF(Output!C144&gt;=12,IFERROR(ROUND(INT(Output!C144)/12,0)&amp;"'-"&amp;INT(ROUND((Output!C144/12-INT(Output!C144/12))*12,2))&amp;" "&amp;IF(MROUND(ROUND((Output!C144/12-INT(Output!C144/12))*12,3)-INT(ROUND((Output!C144/12-INT(Output!C144/12))*12,3)),1/8)=0,"",VLOOKUP(MROUND((Output!C144/12-INT(Output!C144/12))*12-INT((Output!C144/12-INT(Output!C144/12))*12),1/8),fract[],2,FALSE))&amp;"''",""),IFERROR(INT(Output!C144)&amp;" "&amp;IF(MROUND((Output!C144-INT(Output!C144)),1/8)=0,"",VLOOKUP(MROUND((Output!C144-INT(Output!C144)),1/8),fract[],2,FALSE))&amp;"''","")),"")</f>
        <v/>
      </c>
      <c r="D145" s="9" t="str">
        <f>IF(ISNUMBER(Output!D144),IFERROR(ROUND(INT(Output!D144/12),3)&amp;"'-"&amp;INT(ROUND((Output!D144/12-INT(Output!D144/12))*12,3))&amp;" "&amp;IF(MROUND(ROUND((Output!D144/12-INT(Output!D144/12))*12,3)-INT(ROUND((Output!D144/12-INT(Output!D144/12))*12,3)),1/8)=0,"",VLOOKUP(MROUND((Output!D144/12-INT(Output!D144/12))*12-INT((Output!D144/12-INT(Output!D144/12))*12),1/8),fract[],2,FALSE))&amp;"''",""),"")</f>
        <v/>
      </c>
      <c r="E145" s="9" t="str">
        <f>IF(ISNUMBER(Output!E144),IF(Output!E144&gt;=12,IFERROR(ROUND(INT(Output!E144)/12,0)&amp;"'-"&amp;INT(ROUND((Output!E144/12-INT(Output!E144/12))*12,2))&amp;" "&amp;IF(MROUND(ROUND((Output!E144/12-INT(Output!E144/12))*12,3)-INT(ROUND((Output!E144/12-INT(Output!E144/12))*12,3)),1/8)=0,"",VLOOKUP(MROUND((Output!E144/12-INT(Output!E144/12))*12-INT((Output!E144/12-INT(Output!E144/12))*12),1/8),fract[],2,FALSE))&amp;"''",""),IFERROR(INT(Output!E144)&amp;" "&amp;IF(MROUND((Output!E144-INT(Output!E144)),1/8)=0,"",VLOOKUP(MROUND((Output!E144-INT(Output!E144)),1/8),fract[],2,FALSE))&amp;"''","")),"")</f>
        <v/>
      </c>
      <c r="F145" s="8"/>
      <c r="G145" s="8"/>
      <c r="H145" s="9" t="str">
        <f t="shared" si="4"/>
        <v/>
      </c>
      <c r="I145" s="9" t="str">
        <f t="shared" si="5"/>
        <v/>
      </c>
      <c r="J145" s="12" t="str">
        <f>IF(ISNUMBER(Output!F144),Output!F144,"")</f>
        <v/>
      </c>
      <c r="K145" s="12" t="str">
        <f>IF(ISNUMBER(Output!G144),Output!G144,"")</f>
        <v/>
      </c>
    </row>
    <row r="146" spans="1:11" ht="18" customHeight="1" x14ac:dyDescent="0.25">
      <c r="A146" s="9" t="str">
        <f>IF(ISBLANK(Output!A145),"",Output!A145)</f>
        <v/>
      </c>
      <c r="B146" s="9" t="str">
        <f>IF(ISBLANK(Output!B145),"",Output!B145)</f>
        <v/>
      </c>
      <c r="C146" s="9" t="str">
        <f>IF(ISNUMBER(Output!C145),IF(Output!C145&gt;=12,IFERROR(ROUND(INT(Output!C145)/12,0)&amp;"'-"&amp;INT(ROUND((Output!C145/12-INT(Output!C145/12))*12,2))&amp;" "&amp;IF(MROUND(ROUND((Output!C145/12-INT(Output!C145/12))*12,3)-INT(ROUND((Output!C145/12-INT(Output!C145/12))*12,3)),1/8)=0,"",VLOOKUP(MROUND((Output!C145/12-INT(Output!C145/12))*12-INT((Output!C145/12-INT(Output!C145/12))*12),1/8),fract[],2,FALSE))&amp;"''",""),IFERROR(INT(Output!C145)&amp;" "&amp;IF(MROUND((Output!C145-INT(Output!C145)),1/8)=0,"",VLOOKUP(MROUND((Output!C145-INT(Output!C145)),1/8),fract[],2,FALSE))&amp;"''","")),"")</f>
        <v/>
      </c>
      <c r="D146" s="9" t="str">
        <f>IF(ISNUMBER(Output!D145),IFERROR(ROUND(INT(Output!D145/12),3)&amp;"'-"&amp;INT(ROUND((Output!D145/12-INT(Output!D145/12))*12,3))&amp;" "&amp;IF(MROUND(ROUND((Output!D145/12-INT(Output!D145/12))*12,3)-INT(ROUND((Output!D145/12-INT(Output!D145/12))*12,3)),1/8)=0,"",VLOOKUP(MROUND((Output!D145/12-INT(Output!D145/12))*12-INT((Output!D145/12-INT(Output!D145/12))*12),1/8),fract[],2,FALSE))&amp;"''",""),"")</f>
        <v/>
      </c>
      <c r="E146" s="9" t="str">
        <f>IF(ISNUMBER(Output!E145),IF(Output!E145&gt;=12,IFERROR(ROUND(INT(Output!E145)/12,0)&amp;"'-"&amp;INT(ROUND((Output!E145/12-INT(Output!E145/12))*12,2))&amp;" "&amp;IF(MROUND(ROUND((Output!E145/12-INT(Output!E145/12))*12,3)-INT(ROUND((Output!E145/12-INT(Output!E145/12))*12,3)),1/8)=0,"",VLOOKUP(MROUND((Output!E145/12-INT(Output!E145/12))*12-INT((Output!E145/12-INT(Output!E145/12))*12),1/8),fract[],2,FALSE))&amp;"''",""),IFERROR(INT(Output!E145)&amp;" "&amp;IF(MROUND((Output!E145-INT(Output!E145)),1/8)=0,"",VLOOKUP(MROUND((Output!E145-INT(Output!E145)),1/8),fract[],2,FALSE))&amp;"''","")),"")</f>
        <v/>
      </c>
      <c r="F146" s="8"/>
      <c r="G146" s="8"/>
      <c r="H146" s="9" t="str">
        <f t="shared" si="4"/>
        <v/>
      </c>
      <c r="I146" s="9" t="str">
        <f t="shared" si="5"/>
        <v/>
      </c>
      <c r="J146" s="12" t="str">
        <f>IF(ISNUMBER(Output!F145),Output!F145,"")</f>
        <v/>
      </c>
      <c r="K146" s="12" t="str">
        <f>IF(ISNUMBER(Output!G145),Output!G145,"")</f>
        <v/>
      </c>
    </row>
    <row r="147" spans="1:11" ht="18" customHeight="1" x14ac:dyDescent="0.25">
      <c r="A147" s="9" t="str">
        <f>IF(ISBLANK(Output!A146),"",Output!A146)</f>
        <v/>
      </c>
      <c r="B147" s="9" t="str">
        <f>IF(ISBLANK(Output!B146),"",Output!B146)</f>
        <v/>
      </c>
      <c r="C147" s="9" t="str">
        <f>IF(ISNUMBER(Output!C146),IF(Output!C146&gt;=12,IFERROR(ROUND(INT(Output!C146)/12,0)&amp;"'-"&amp;INT(ROUND((Output!C146/12-INT(Output!C146/12))*12,2))&amp;" "&amp;IF(MROUND(ROUND((Output!C146/12-INT(Output!C146/12))*12,3)-INT(ROUND((Output!C146/12-INT(Output!C146/12))*12,3)),1/8)=0,"",VLOOKUP(MROUND((Output!C146/12-INT(Output!C146/12))*12-INT((Output!C146/12-INT(Output!C146/12))*12),1/8),fract[],2,FALSE))&amp;"''",""),IFERROR(INT(Output!C146)&amp;" "&amp;IF(MROUND((Output!C146-INT(Output!C146)),1/8)=0,"",VLOOKUP(MROUND((Output!C146-INT(Output!C146)),1/8),fract[],2,FALSE))&amp;"''","")),"")</f>
        <v/>
      </c>
      <c r="D147" s="9" t="str">
        <f>IF(ISNUMBER(Output!D146),IFERROR(ROUND(INT(Output!D146/12),3)&amp;"'-"&amp;INT(ROUND((Output!D146/12-INT(Output!D146/12))*12,3))&amp;" "&amp;IF(MROUND(ROUND((Output!D146/12-INT(Output!D146/12))*12,3)-INT(ROUND((Output!D146/12-INT(Output!D146/12))*12,3)),1/8)=0,"",VLOOKUP(MROUND((Output!D146/12-INT(Output!D146/12))*12-INT((Output!D146/12-INT(Output!D146/12))*12),1/8),fract[],2,FALSE))&amp;"''",""),"")</f>
        <v/>
      </c>
      <c r="E147" s="9" t="str">
        <f>IF(ISNUMBER(Output!E146),IF(Output!E146&gt;=12,IFERROR(ROUND(INT(Output!E146)/12,0)&amp;"'-"&amp;INT(ROUND((Output!E146/12-INT(Output!E146/12))*12,2))&amp;" "&amp;IF(MROUND(ROUND((Output!E146/12-INT(Output!E146/12))*12,3)-INT(ROUND((Output!E146/12-INT(Output!E146/12))*12,3)),1/8)=0,"",VLOOKUP(MROUND((Output!E146/12-INT(Output!E146/12))*12-INT((Output!E146/12-INT(Output!E146/12))*12),1/8),fract[],2,FALSE))&amp;"''",""),IFERROR(INT(Output!E146)&amp;" "&amp;IF(MROUND((Output!E146-INT(Output!E146)),1/8)=0,"",VLOOKUP(MROUND((Output!E146-INT(Output!E146)),1/8),fract[],2,FALSE))&amp;"''","")),"")</f>
        <v/>
      </c>
      <c r="F147" s="8"/>
      <c r="G147" s="8"/>
      <c r="H147" s="9" t="str">
        <f t="shared" si="4"/>
        <v/>
      </c>
      <c r="I147" s="9" t="str">
        <f t="shared" si="5"/>
        <v/>
      </c>
      <c r="J147" s="12" t="str">
        <f>IF(ISNUMBER(Output!F146),Output!F146,"")</f>
        <v/>
      </c>
      <c r="K147" s="12" t="str">
        <f>IF(ISNUMBER(Output!G146),Output!G146,"")</f>
        <v/>
      </c>
    </row>
    <row r="148" spans="1:11" ht="18" customHeight="1" x14ac:dyDescent="0.25">
      <c r="A148" s="9" t="str">
        <f>IF(ISBLANK(Output!A147),"",Output!A147)</f>
        <v/>
      </c>
      <c r="B148" s="9" t="str">
        <f>IF(ISBLANK(Output!B147),"",Output!B147)</f>
        <v/>
      </c>
      <c r="C148" s="9" t="str">
        <f>IF(ISNUMBER(Output!C147),IF(Output!C147&gt;=12,IFERROR(ROUND(INT(Output!C147)/12,0)&amp;"'-"&amp;INT(ROUND((Output!C147/12-INT(Output!C147/12))*12,2))&amp;" "&amp;IF(MROUND(ROUND((Output!C147/12-INT(Output!C147/12))*12,3)-INT(ROUND((Output!C147/12-INT(Output!C147/12))*12,3)),1/8)=0,"",VLOOKUP(MROUND((Output!C147/12-INT(Output!C147/12))*12-INT((Output!C147/12-INT(Output!C147/12))*12),1/8),fract[],2,FALSE))&amp;"''",""),IFERROR(INT(Output!C147)&amp;" "&amp;IF(MROUND((Output!C147-INT(Output!C147)),1/8)=0,"",VLOOKUP(MROUND((Output!C147-INT(Output!C147)),1/8),fract[],2,FALSE))&amp;"''","")),"")</f>
        <v/>
      </c>
      <c r="D148" s="9" t="str">
        <f>IF(ISNUMBER(Output!D147),IFERROR(ROUND(INT(Output!D147/12),3)&amp;"'-"&amp;INT(ROUND((Output!D147/12-INT(Output!D147/12))*12,3))&amp;" "&amp;IF(MROUND(ROUND((Output!D147/12-INT(Output!D147/12))*12,3)-INT(ROUND((Output!D147/12-INT(Output!D147/12))*12,3)),1/8)=0,"",VLOOKUP(MROUND((Output!D147/12-INT(Output!D147/12))*12-INT((Output!D147/12-INT(Output!D147/12))*12),1/8),fract[],2,FALSE))&amp;"''",""),"")</f>
        <v/>
      </c>
      <c r="E148" s="9" t="str">
        <f>IF(ISNUMBER(Output!E147),IF(Output!E147&gt;=12,IFERROR(ROUND(INT(Output!E147)/12,0)&amp;"'-"&amp;INT(ROUND((Output!E147/12-INT(Output!E147/12))*12,2))&amp;" "&amp;IF(MROUND(ROUND((Output!E147/12-INT(Output!E147/12))*12,3)-INT(ROUND((Output!E147/12-INT(Output!E147/12))*12,3)),1/8)=0,"",VLOOKUP(MROUND((Output!E147/12-INT(Output!E147/12))*12-INT((Output!E147/12-INT(Output!E147/12))*12),1/8),fract[],2,FALSE))&amp;"''",""),IFERROR(INT(Output!E147)&amp;" "&amp;IF(MROUND((Output!E147-INT(Output!E147)),1/8)=0,"",VLOOKUP(MROUND((Output!E147-INT(Output!E147)),1/8),fract[],2,FALSE))&amp;"''","")),"")</f>
        <v/>
      </c>
      <c r="F148" s="8"/>
      <c r="G148" s="8"/>
      <c r="H148" s="9" t="str">
        <f t="shared" si="4"/>
        <v/>
      </c>
      <c r="I148" s="9" t="str">
        <f t="shared" si="5"/>
        <v/>
      </c>
      <c r="J148" s="12" t="str">
        <f>IF(ISNUMBER(Output!F147),Output!F147,"")</f>
        <v/>
      </c>
      <c r="K148" s="12" t="str">
        <f>IF(ISNUMBER(Output!G147),Output!G147,"")</f>
        <v/>
      </c>
    </row>
    <row r="149" spans="1:11" ht="18" customHeight="1" x14ac:dyDescent="0.25">
      <c r="A149" s="9" t="str">
        <f>IF(ISBLANK(Output!A148),"",Output!A148)</f>
        <v/>
      </c>
      <c r="B149" s="9" t="str">
        <f>IF(ISBLANK(Output!B148),"",Output!B148)</f>
        <v/>
      </c>
      <c r="C149" s="9" t="str">
        <f>IF(ISNUMBER(Output!C148),IF(Output!C148&gt;=12,IFERROR(ROUND(INT(Output!C148)/12,0)&amp;"'-"&amp;INT(ROUND((Output!C148/12-INT(Output!C148/12))*12,2))&amp;" "&amp;IF(MROUND(ROUND((Output!C148/12-INT(Output!C148/12))*12,3)-INT(ROUND((Output!C148/12-INT(Output!C148/12))*12,3)),1/8)=0,"",VLOOKUP(MROUND((Output!C148/12-INT(Output!C148/12))*12-INT((Output!C148/12-INT(Output!C148/12))*12),1/8),fract[],2,FALSE))&amp;"''",""),IFERROR(INT(Output!C148)&amp;" "&amp;IF(MROUND((Output!C148-INT(Output!C148)),1/8)=0,"",VLOOKUP(MROUND((Output!C148-INT(Output!C148)),1/8),fract[],2,FALSE))&amp;"''","")),"")</f>
        <v/>
      </c>
      <c r="D149" s="9" t="str">
        <f>IF(ISNUMBER(Output!D148),IFERROR(ROUND(INT(Output!D148/12),3)&amp;"'-"&amp;INT(ROUND((Output!D148/12-INT(Output!D148/12))*12,3))&amp;" "&amp;IF(MROUND(ROUND((Output!D148/12-INT(Output!D148/12))*12,3)-INT(ROUND((Output!D148/12-INT(Output!D148/12))*12,3)),1/8)=0,"",VLOOKUP(MROUND((Output!D148/12-INT(Output!D148/12))*12-INT((Output!D148/12-INT(Output!D148/12))*12),1/8),fract[],2,FALSE))&amp;"''",""),"")</f>
        <v/>
      </c>
      <c r="E149" s="9" t="str">
        <f>IF(ISNUMBER(Output!E148),IF(Output!E148&gt;=12,IFERROR(ROUND(INT(Output!E148)/12,0)&amp;"'-"&amp;INT(ROUND((Output!E148/12-INT(Output!E148/12))*12,2))&amp;" "&amp;IF(MROUND(ROUND((Output!E148/12-INT(Output!E148/12))*12,3)-INT(ROUND((Output!E148/12-INT(Output!E148/12))*12,3)),1/8)=0,"",VLOOKUP(MROUND((Output!E148/12-INT(Output!E148/12))*12-INT((Output!E148/12-INT(Output!E148/12))*12),1/8),fract[],2,FALSE))&amp;"''",""),IFERROR(INT(Output!E148)&amp;" "&amp;IF(MROUND((Output!E148-INT(Output!E148)),1/8)=0,"",VLOOKUP(MROUND((Output!E148-INT(Output!E148)),1/8),fract[],2,FALSE))&amp;"''","")),"")</f>
        <v/>
      </c>
      <c r="F149" s="8"/>
      <c r="G149" s="8"/>
      <c r="H149" s="9" t="str">
        <f t="shared" si="4"/>
        <v/>
      </c>
      <c r="I149" s="9" t="str">
        <f t="shared" si="5"/>
        <v/>
      </c>
      <c r="J149" s="12" t="str">
        <f>IF(ISNUMBER(Output!F148),Output!F148,"")</f>
        <v/>
      </c>
      <c r="K149" s="12" t="str">
        <f>IF(ISNUMBER(Output!G148),Output!G148,"")</f>
        <v/>
      </c>
    </row>
    <row r="150" spans="1:11" ht="18" customHeight="1" x14ac:dyDescent="0.25">
      <c r="A150" s="9" t="str">
        <f>IF(ISBLANK(Output!A149),"",Output!A149)</f>
        <v/>
      </c>
      <c r="B150" s="9" t="str">
        <f>IF(ISBLANK(Output!B149),"",Output!B149)</f>
        <v/>
      </c>
      <c r="C150" s="9" t="str">
        <f>IF(ISNUMBER(Output!C149),IF(Output!C149&gt;=12,IFERROR(ROUND(INT(Output!C149)/12,0)&amp;"'-"&amp;INT(ROUND((Output!C149/12-INT(Output!C149/12))*12,2))&amp;" "&amp;IF(MROUND(ROUND((Output!C149/12-INT(Output!C149/12))*12,3)-INT(ROUND((Output!C149/12-INT(Output!C149/12))*12,3)),1/8)=0,"",VLOOKUP(MROUND((Output!C149/12-INT(Output!C149/12))*12-INT((Output!C149/12-INT(Output!C149/12))*12),1/8),fract[],2,FALSE))&amp;"''",""),IFERROR(INT(Output!C149)&amp;" "&amp;IF(MROUND((Output!C149-INT(Output!C149)),1/8)=0,"",VLOOKUP(MROUND((Output!C149-INT(Output!C149)),1/8),fract[],2,FALSE))&amp;"''","")),"")</f>
        <v/>
      </c>
      <c r="D150" s="9" t="str">
        <f>IF(ISNUMBER(Output!D149),IFERROR(ROUND(INT(Output!D149/12),3)&amp;"'-"&amp;INT(ROUND((Output!D149/12-INT(Output!D149/12))*12,3))&amp;" "&amp;IF(MROUND(ROUND((Output!D149/12-INT(Output!D149/12))*12,3)-INT(ROUND((Output!D149/12-INT(Output!D149/12))*12,3)),1/8)=0,"",VLOOKUP(MROUND((Output!D149/12-INT(Output!D149/12))*12-INT((Output!D149/12-INT(Output!D149/12))*12),1/8),fract[],2,FALSE))&amp;"''",""),"")</f>
        <v/>
      </c>
      <c r="E150" s="9" t="str">
        <f>IF(ISNUMBER(Output!E149),IF(Output!E149&gt;=12,IFERROR(ROUND(INT(Output!E149)/12,0)&amp;"'-"&amp;INT(ROUND((Output!E149/12-INT(Output!E149/12))*12,2))&amp;" "&amp;IF(MROUND(ROUND((Output!E149/12-INT(Output!E149/12))*12,3)-INT(ROUND((Output!E149/12-INT(Output!E149/12))*12,3)),1/8)=0,"",VLOOKUP(MROUND((Output!E149/12-INT(Output!E149/12))*12-INT((Output!E149/12-INT(Output!E149/12))*12),1/8),fract[],2,FALSE))&amp;"''",""),IFERROR(INT(Output!E149)&amp;" "&amp;IF(MROUND((Output!E149-INT(Output!E149)),1/8)=0,"",VLOOKUP(MROUND((Output!E149-INT(Output!E149)),1/8),fract[],2,FALSE))&amp;"''","")),"")</f>
        <v/>
      </c>
      <c r="F150" s="8"/>
      <c r="G150" s="8"/>
      <c r="H150" s="9" t="str">
        <f t="shared" si="4"/>
        <v/>
      </c>
      <c r="I150" s="9" t="str">
        <f t="shared" si="5"/>
        <v/>
      </c>
      <c r="J150" s="12" t="str">
        <f>IF(ISNUMBER(Output!F149),Output!F149,"")</f>
        <v/>
      </c>
      <c r="K150" s="12" t="str">
        <f>IF(ISNUMBER(Output!G149),Output!G149,"")</f>
        <v/>
      </c>
    </row>
    <row r="151" spans="1:11" ht="18" customHeight="1" x14ac:dyDescent="0.25">
      <c r="A151" s="9" t="str">
        <f>IF(ISBLANK(Output!A150),"",Output!A150)</f>
        <v/>
      </c>
      <c r="B151" s="9" t="str">
        <f>IF(ISBLANK(Output!B150),"",Output!B150)</f>
        <v/>
      </c>
      <c r="C151" s="9" t="str">
        <f>IF(ISNUMBER(Output!C150),IF(Output!C150&gt;=12,IFERROR(ROUND(INT(Output!C150)/12,0)&amp;"'-"&amp;INT(ROUND((Output!C150/12-INT(Output!C150/12))*12,2))&amp;" "&amp;IF(MROUND(ROUND((Output!C150/12-INT(Output!C150/12))*12,3)-INT(ROUND((Output!C150/12-INT(Output!C150/12))*12,3)),1/8)=0,"",VLOOKUP(MROUND((Output!C150/12-INT(Output!C150/12))*12-INT((Output!C150/12-INT(Output!C150/12))*12),1/8),fract[],2,FALSE))&amp;"''",""),IFERROR(INT(Output!C150)&amp;" "&amp;IF(MROUND((Output!C150-INT(Output!C150)),1/8)=0,"",VLOOKUP(MROUND((Output!C150-INT(Output!C150)),1/8),fract[],2,FALSE))&amp;"''","")),"")</f>
        <v/>
      </c>
      <c r="D151" s="9" t="str">
        <f>IF(ISNUMBER(Output!D150),IFERROR(ROUND(INT(Output!D150/12),3)&amp;"'-"&amp;INT(ROUND((Output!D150/12-INT(Output!D150/12))*12,3))&amp;" "&amp;IF(MROUND(ROUND((Output!D150/12-INT(Output!D150/12))*12,3)-INT(ROUND((Output!D150/12-INT(Output!D150/12))*12,3)),1/8)=0,"",VLOOKUP(MROUND((Output!D150/12-INT(Output!D150/12))*12-INT((Output!D150/12-INT(Output!D150/12))*12),1/8),fract[],2,FALSE))&amp;"''",""),"")</f>
        <v/>
      </c>
      <c r="E151" s="9" t="str">
        <f>IF(ISNUMBER(Output!E150),IF(Output!E150&gt;=12,IFERROR(ROUND(INT(Output!E150)/12,0)&amp;"'-"&amp;INT(ROUND((Output!E150/12-INT(Output!E150/12))*12,2))&amp;" "&amp;IF(MROUND(ROUND((Output!E150/12-INT(Output!E150/12))*12,3)-INT(ROUND((Output!E150/12-INT(Output!E150/12))*12,3)),1/8)=0,"",VLOOKUP(MROUND((Output!E150/12-INT(Output!E150/12))*12-INT((Output!E150/12-INT(Output!E150/12))*12),1/8),fract[],2,FALSE))&amp;"''",""),IFERROR(INT(Output!E150)&amp;" "&amp;IF(MROUND((Output!E150-INT(Output!E150)),1/8)=0,"",VLOOKUP(MROUND((Output!E150-INT(Output!E150)),1/8),fract[],2,FALSE))&amp;"''","")),"")</f>
        <v/>
      </c>
      <c r="F151" s="8"/>
      <c r="G151" s="8"/>
      <c r="H151" s="9" t="str">
        <f t="shared" si="4"/>
        <v/>
      </c>
      <c r="I151" s="9" t="str">
        <f t="shared" si="5"/>
        <v/>
      </c>
      <c r="J151" s="12" t="str">
        <f>IF(ISNUMBER(Output!F150),Output!F150,"")</f>
        <v/>
      </c>
      <c r="K151" s="12" t="str">
        <f>IF(ISNUMBER(Output!G150),Output!G150,"")</f>
        <v/>
      </c>
    </row>
    <row r="152" spans="1:11" ht="18" customHeight="1" x14ac:dyDescent="0.25">
      <c r="A152" s="9" t="str">
        <f>IF(ISBLANK(Output!A151),"",Output!A151)</f>
        <v/>
      </c>
      <c r="B152" s="9" t="str">
        <f>IF(ISBLANK(Output!B151),"",Output!B151)</f>
        <v/>
      </c>
      <c r="C152" s="9" t="str">
        <f>IF(ISNUMBER(Output!C151),IF(Output!C151&gt;=12,IFERROR(ROUND(INT(Output!C151)/12,0)&amp;"'-"&amp;INT(ROUND((Output!C151/12-INT(Output!C151/12))*12,2))&amp;" "&amp;IF(MROUND(ROUND((Output!C151/12-INT(Output!C151/12))*12,3)-INT(ROUND((Output!C151/12-INT(Output!C151/12))*12,3)),1/8)=0,"",VLOOKUP(MROUND((Output!C151/12-INT(Output!C151/12))*12-INT((Output!C151/12-INT(Output!C151/12))*12),1/8),fract[],2,FALSE))&amp;"''",""),IFERROR(INT(Output!C151)&amp;" "&amp;IF(MROUND((Output!C151-INT(Output!C151)),1/8)=0,"",VLOOKUP(MROUND((Output!C151-INT(Output!C151)),1/8),fract[],2,FALSE))&amp;"''","")),"")</f>
        <v/>
      </c>
      <c r="D152" s="9" t="str">
        <f>IF(ISNUMBER(Output!D151),IFERROR(ROUND(INT(Output!D151/12),3)&amp;"'-"&amp;INT(ROUND((Output!D151/12-INT(Output!D151/12))*12,3))&amp;" "&amp;IF(MROUND(ROUND((Output!D151/12-INT(Output!D151/12))*12,3)-INT(ROUND((Output!D151/12-INT(Output!D151/12))*12,3)),1/8)=0,"",VLOOKUP(MROUND((Output!D151/12-INT(Output!D151/12))*12-INT((Output!D151/12-INT(Output!D151/12))*12),1/8),fract[],2,FALSE))&amp;"''",""),"")</f>
        <v/>
      </c>
      <c r="E152" s="9" t="str">
        <f>IF(ISNUMBER(Output!E151),IF(Output!E151&gt;=12,IFERROR(ROUND(INT(Output!E151)/12,0)&amp;"'-"&amp;INT(ROUND((Output!E151/12-INT(Output!E151/12))*12,2))&amp;" "&amp;IF(MROUND(ROUND((Output!E151/12-INT(Output!E151/12))*12,3)-INT(ROUND((Output!E151/12-INT(Output!E151/12))*12,3)),1/8)=0,"",VLOOKUP(MROUND((Output!E151/12-INT(Output!E151/12))*12-INT((Output!E151/12-INT(Output!E151/12))*12),1/8),fract[],2,FALSE))&amp;"''",""),IFERROR(INT(Output!E151)&amp;" "&amp;IF(MROUND((Output!E151-INT(Output!E151)),1/8)=0,"",VLOOKUP(MROUND((Output!E151-INT(Output!E151)),1/8),fract[],2,FALSE))&amp;"''","")),"")</f>
        <v/>
      </c>
      <c r="F152" s="8"/>
      <c r="G152" s="8"/>
      <c r="H152" s="9" t="str">
        <f t="shared" si="4"/>
        <v/>
      </c>
      <c r="I152" s="9" t="str">
        <f t="shared" si="5"/>
        <v/>
      </c>
      <c r="J152" s="12" t="str">
        <f>IF(ISNUMBER(Output!F151),Output!F151,"")</f>
        <v/>
      </c>
      <c r="K152" s="12" t="str">
        <f>IF(ISNUMBER(Output!G151),Output!G151,"")</f>
        <v/>
      </c>
    </row>
    <row r="153" spans="1:11" ht="18" customHeight="1" x14ac:dyDescent="0.25">
      <c r="A153" s="9" t="str">
        <f>IF(ISBLANK(Output!A152),"",Output!A152)</f>
        <v/>
      </c>
      <c r="B153" s="9" t="str">
        <f>IF(ISBLANK(Output!B152),"",Output!B152)</f>
        <v/>
      </c>
      <c r="C153" s="9" t="str">
        <f>IF(ISNUMBER(Output!C152),IF(Output!C152&gt;=12,IFERROR(ROUND(INT(Output!C152)/12,0)&amp;"'-"&amp;INT(ROUND((Output!C152/12-INT(Output!C152/12))*12,2))&amp;" "&amp;IF(MROUND(ROUND((Output!C152/12-INT(Output!C152/12))*12,3)-INT(ROUND((Output!C152/12-INT(Output!C152/12))*12,3)),1/8)=0,"",VLOOKUP(MROUND((Output!C152/12-INT(Output!C152/12))*12-INT((Output!C152/12-INT(Output!C152/12))*12),1/8),fract[],2,FALSE))&amp;"''",""),IFERROR(INT(Output!C152)&amp;" "&amp;IF(MROUND((Output!C152-INT(Output!C152)),1/8)=0,"",VLOOKUP(MROUND((Output!C152-INT(Output!C152)),1/8),fract[],2,FALSE))&amp;"''","")),"")</f>
        <v/>
      </c>
      <c r="D153" s="9" t="str">
        <f>IF(ISNUMBER(Output!D152),IFERROR(ROUND(INT(Output!D152/12),3)&amp;"'-"&amp;INT(ROUND((Output!D152/12-INT(Output!D152/12))*12,3))&amp;" "&amp;IF(MROUND(ROUND((Output!D152/12-INT(Output!D152/12))*12,3)-INT(ROUND((Output!D152/12-INT(Output!D152/12))*12,3)),1/8)=0,"",VLOOKUP(MROUND((Output!D152/12-INT(Output!D152/12))*12-INT((Output!D152/12-INT(Output!D152/12))*12),1/8),fract[],2,FALSE))&amp;"''",""),"")</f>
        <v/>
      </c>
      <c r="E153" s="9" t="str">
        <f>IF(ISNUMBER(Output!E152),IF(Output!E152&gt;=12,IFERROR(ROUND(INT(Output!E152)/12,0)&amp;"'-"&amp;INT(ROUND((Output!E152/12-INT(Output!E152/12))*12,2))&amp;" "&amp;IF(MROUND(ROUND((Output!E152/12-INT(Output!E152/12))*12,3)-INT(ROUND((Output!E152/12-INT(Output!E152/12))*12,3)),1/8)=0,"",VLOOKUP(MROUND((Output!E152/12-INT(Output!E152/12))*12-INT((Output!E152/12-INT(Output!E152/12))*12),1/8),fract[],2,FALSE))&amp;"''",""),IFERROR(INT(Output!E152)&amp;" "&amp;IF(MROUND((Output!E152-INT(Output!E152)),1/8)=0,"",VLOOKUP(MROUND((Output!E152-INT(Output!E152)),1/8),fract[],2,FALSE))&amp;"''","")),"")</f>
        <v/>
      </c>
      <c r="F153" s="8"/>
      <c r="G153" s="8"/>
      <c r="H153" s="9" t="str">
        <f t="shared" si="4"/>
        <v/>
      </c>
      <c r="I153" s="9" t="str">
        <f t="shared" si="5"/>
        <v/>
      </c>
      <c r="J153" s="12" t="str">
        <f>IF(ISNUMBER(Output!F152),Output!F152,"")</f>
        <v/>
      </c>
      <c r="K153" s="12" t="str">
        <f>IF(ISNUMBER(Output!G152),Output!G152,"")</f>
        <v/>
      </c>
    </row>
    <row r="154" spans="1:11" ht="18" customHeight="1" x14ac:dyDescent="0.25">
      <c r="A154" s="9" t="str">
        <f>IF(ISBLANK(Output!A153),"",Output!A153)</f>
        <v/>
      </c>
      <c r="B154" s="9" t="str">
        <f>IF(ISBLANK(Output!B153),"",Output!B153)</f>
        <v/>
      </c>
      <c r="C154" s="9" t="str">
        <f>IF(ISNUMBER(Output!C153),IF(Output!C153&gt;=12,IFERROR(ROUND(INT(Output!C153)/12,0)&amp;"'-"&amp;INT(ROUND((Output!C153/12-INT(Output!C153/12))*12,2))&amp;" "&amp;IF(MROUND(ROUND((Output!C153/12-INT(Output!C153/12))*12,3)-INT(ROUND((Output!C153/12-INT(Output!C153/12))*12,3)),1/8)=0,"",VLOOKUP(MROUND((Output!C153/12-INT(Output!C153/12))*12-INT((Output!C153/12-INT(Output!C153/12))*12),1/8),fract[],2,FALSE))&amp;"''",""),IFERROR(INT(Output!C153)&amp;" "&amp;IF(MROUND((Output!C153-INT(Output!C153)),1/8)=0,"",VLOOKUP(MROUND((Output!C153-INT(Output!C153)),1/8),fract[],2,FALSE))&amp;"''","")),"")</f>
        <v/>
      </c>
      <c r="D154" s="9" t="str">
        <f>IF(ISNUMBER(Output!D153),IFERROR(ROUND(INT(Output!D153/12),3)&amp;"'-"&amp;INT(ROUND((Output!D153/12-INT(Output!D153/12))*12,3))&amp;" "&amp;IF(MROUND(ROUND((Output!D153/12-INT(Output!D153/12))*12,3)-INT(ROUND((Output!D153/12-INT(Output!D153/12))*12,3)),1/8)=0,"",VLOOKUP(MROUND((Output!D153/12-INT(Output!D153/12))*12-INT((Output!D153/12-INT(Output!D153/12))*12),1/8),fract[],2,FALSE))&amp;"''",""),"")</f>
        <v/>
      </c>
      <c r="E154" s="9" t="str">
        <f>IF(ISNUMBER(Output!E153),IF(Output!E153&gt;=12,IFERROR(ROUND(INT(Output!E153)/12,0)&amp;"'-"&amp;INT(ROUND((Output!E153/12-INT(Output!E153/12))*12,2))&amp;" "&amp;IF(MROUND(ROUND((Output!E153/12-INT(Output!E153/12))*12,3)-INT(ROUND((Output!E153/12-INT(Output!E153/12))*12,3)),1/8)=0,"",VLOOKUP(MROUND((Output!E153/12-INT(Output!E153/12))*12-INT((Output!E153/12-INT(Output!E153/12))*12),1/8),fract[],2,FALSE))&amp;"''",""),IFERROR(INT(Output!E153)&amp;" "&amp;IF(MROUND((Output!E153-INT(Output!E153)),1/8)=0,"",VLOOKUP(MROUND((Output!E153-INT(Output!E153)),1/8),fract[],2,FALSE))&amp;"''","")),"")</f>
        <v/>
      </c>
      <c r="F154" s="8"/>
      <c r="G154" s="8"/>
      <c r="H154" s="9" t="str">
        <f t="shared" si="4"/>
        <v/>
      </c>
      <c r="I154" s="9" t="str">
        <f t="shared" si="5"/>
        <v/>
      </c>
      <c r="J154" s="12" t="str">
        <f>IF(ISNUMBER(Output!F153),Output!F153,"")</f>
        <v/>
      </c>
      <c r="K154" s="12" t="str">
        <f>IF(ISNUMBER(Output!G153),Output!G153,"")</f>
        <v/>
      </c>
    </row>
    <row r="155" spans="1:11" ht="18" customHeight="1" x14ac:dyDescent="0.25">
      <c r="A155" s="9" t="str">
        <f>IF(ISBLANK(Output!A154),"",Output!A154)</f>
        <v/>
      </c>
      <c r="B155" s="9" t="str">
        <f>IF(ISBLANK(Output!B154),"",Output!B154)</f>
        <v/>
      </c>
      <c r="C155" s="9" t="str">
        <f>IF(ISNUMBER(Output!C154),IF(Output!C154&gt;=12,IFERROR(ROUND(INT(Output!C154)/12,0)&amp;"'-"&amp;INT(ROUND((Output!C154/12-INT(Output!C154/12))*12,2))&amp;" "&amp;IF(MROUND(ROUND((Output!C154/12-INT(Output!C154/12))*12,3)-INT(ROUND((Output!C154/12-INT(Output!C154/12))*12,3)),1/8)=0,"",VLOOKUP(MROUND((Output!C154/12-INT(Output!C154/12))*12-INT((Output!C154/12-INT(Output!C154/12))*12),1/8),fract[],2,FALSE))&amp;"''",""),IFERROR(INT(Output!C154)&amp;" "&amp;IF(MROUND((Output!C154-INT(Output!C154)),1/8)=0,"",VLOOKUP(MROUND((Output!C154-INT(Output!C154)),1/8),fract[],2,FALSE))&amp;"''","")),"")</f>
        <v/>
      </c>
      <c r="D155" s="9" t="str">
        <f>IF(ISNUMBER(Output!D154),IFERROR(ROUND(INT(Output!D154/12),3)&amp;"'-"&amp;INT(ROUND((Output!D154/12-INT(Output!D154/12))*12,3))&amp;" "&amp;IF(MROUND(ROUND((Output!D154/12-INT(Output!D154/12))*12,3)-INT(ROUND((Output!D154/12-INT(Output!D154/12))*12,3)),1/8)=0,"",VLOOKUP(MROUND((Output!D154/12-INT(Output!D154/12))*12-INT((Output!D154/12-INT(Output!D154/12))*12),1/8),fract[],2,FALSE))&amp;"''",""),"")</f>
        <v/>
      </c>
      <c r="E155" s="9" t="str">
        <f>IF(ISNUMBER(Output!E154),IF(Output!E154&gt;=12,IFERROR(ROUND(INT(Output!E154)/12,0)&amp;"'-"&amp;INT(ROUND((Output!E154/12-INT(Output!E154/12))*12,2))&amp;" "&amp;IF(MROUND(ROUND((Output!E154/12-INT(Output!E154/12))*12,3)-INT(ROUND((Output!E154/12-INT(Output!E154/12))*12,3)),1/8)=0,"",VLOOKUP(MROUND((Output!E154/12-INT(Output!E154/12))*12-INT((Output!E154/12-INT(Output!E154/12))*12),1/8),fract[],2,FALSE))&amp;"''",""),IFERROR(INT(Output!E154)&amp;" "&amp;IF(MROUND((Output!E154-INT(Output!E154)),1/8)=0,"",VLOOKUP(MROUND((Output!E154-INT(Output!E154)),1/8),fract[],2,FALSE))&amp;"''","")),"")</f>
        <v/>
      </c>
      <c r="F155" s="8"/>
      <c r="G155" s="8"/>
      <c r="H155" s="9" t="str">
        <f t="shared" si="4"/>
        <v/>
      </c>
      <c r="I155" s="9" t="str">
        <f t="shared" si="5"/>
        <v/>
      </c>
      <c r="J155" s="12" t="str">
        <f>IF(ISNUMBER(Output!F154),Output!F154,"")</f>
        <v/>
      </c>
      <c r="K155" s="12" t="str">
        <f>IF(ISNUMBER(Output!G154),Output!G154,"")</f>
        <v/>
      </c>
    </row>
    <row r="156" spans="1:11" ht="18" customHeight="1" x14ac:dyDescent="0.25">
      <c r="A156" s="9" t="str">
        <f>IF(ISBLANK(Output!A155),"",Output!A155)</f>
        <v/>
      </c>
      <c r="B156" s="9" t="str">
        <f>IF(ISBLANK(Output!B155),"",Output!B155)</f>
        <v/>
      </c>
      <c r="C156" s="9" t="str">
        <f>IF(ISNUMBER(Output!C155),IF(Output!C155&gt;=12,IFERROR(ROUND(INT(Output!C155)/12,0)&amp;"'-"&amp;INT(ROUND((Output!C155/12-INT(Output!C155/12))*12,2))&amp;" "&amp;IF(MROUND(ROUND((Output!C155/12-INT(Output!C155/12))*12,3)-INT(ROUND((Output!C155/12-INT(Output!C155/12))*12,3)),1/8)=0,"",VLOOKUP(MROUND((Output!C155/12-INT(Output!C155/12))*12-INT((Output!C155/12-INT(Output!C155/12))*12),1/8),fract[],2,FALSE))&amp;"''",""),IFERROR(INT(Output!C155)&amp;" "&amp;IF(MROUND((Output!C155-INT(Output!C155)),1/8)=0,"",VLOOKUP(MROUND((Output!C155-INT(Output!C155)),1/8),fract[],2,FALSE))&amp;"''","")),"")</f>
        <v/>
      </c>
      <c r="D156" s="9" t="str">
        <f>IF(ISNUMBER(Output!D155),IFERROR(ROUND(INT(Output!D155/12),3)&amp;"'-"&amp;INT(ROUND((Output!D155/12-INT(Output!D155/12))*12,3))&amp;" "&amp;IF(MROUND(ROUND((Output!D155/12-INT(Output!D155/12))*12,3)-INT(ROUND((Output!D155/12-INT(Output!D155/12))*12,3)),1/8)=0,"",VLOOKUP(MROUND((Output!D155/12-INT(Output!D155/12))*12-INT((Output!D155/12-INT(Output!D155/12))*12),1/8),fract[],2,FALSE))&amp;"''",""),"")</f>
        <v/>
      </c>
      <c r="E156" s="9" t="str">
        <f>IF(ISNUMBER(Output!E155),IF(Output!E155&gt;=12,IFERROR(ROUND(INT(Output!E155)/12,0)&amp;"'-"&amp;INT(ROUND((Output!E155/12-INT(Output!E155/12))*12,2))&amp;" "&amp;IF(MROUND(ROUND((Output!E155/12-INT(Output!E155/12))*12,3)-INT(ROUND((Output!E155/12-INT(Output!E155/12))*12,3)),1/8)=0,"",VLOOKUP(MROUND((Output!E155/12-INT(Output!E155/12))*12-INT((Output!E155/12-INT(Output!E155/12))*12),1/8),fract[],2,FALSE))&amp;"''",""),IFERROR(INT(Output!E155)&amp;" "&amp;IF(MROUND((Output!E155-INT(Output!E155)),1/8)=0,"",VLOOKUP(MROUND((Output!E155-INT(Output!E155)),1/8),fract[],2,FALSE))&amp;"''","")),"")</f>
        <v/>
      </c>
      <c r="F156" s="8"/>
      <c r="G156" s="8"/>
      <c r="H156" s="9" t="str">
        <f t="shared" si="4"/>
        <v/>
      </c>
      <c r="I156" s="9" t="str">
        <f t="shared" si="5"/>
        <v/>
      </c>
      <c r="J156" s="12" t="str">
        <f>IF(ISNUMBER(Output!F155),Output!F155,"")</f>
        <v/>
      </c>
      <c r="K156" s="12" t="str">
        <f>IF(ISNUMBER(Output!G155),Output!G155,"")</f>
        <v/>
      </c>
    </row>
    <row r="157" spans="1:11" ht="18" customHeight="1" x14ac:dyDescent="0.25">
      <c r="A157" s="9" t="str">
        <f>IF(ISBLANK(Output!A156),"",Output!A156)</f>
        <v/>
      </c>
      <c r="B157" s="9" t="str">
        <f>IF(ISBLANK(Output!B156),"",Output!B156)</f>
        <v/>
      </c>
      <c r="C157" s="9" t="str">
        <f>IF(ISNUMBER(Output!C156),IF(Output!C156&gt;=12,IFERROR(ROUND(INT(Output!C156)/12,0)&amp;"'-"&amp;INT(ROUND((Output!C156/12-INT(Output!C156/12))*12,2))&amp;" "&amp;IF(MROUND(ROUND((Output!C156/12-INT(Output!C156/12))*12,3)-INT(ROUND((Output!C156/12-INT(Output!C156/12))*12,3)),1/8)=0,"",VLOOKUP(MROUND((Output!C156/12-INT(Output!C156/12))*12-INT((Output!C156/12-INT(Output!C156/12))*12),1/8),fract[],2,FALSE))&amp;"''",""),IFERROR(INT(Output!C156)&amp;" "&amp;IF(MROUND((Output!C156-INT(Output!C156)),1/8)=0,"",VLOOKUP(MROUND((Output!C156-INT(Output!C156)),1/8),fract[],2,FALSE))&amp;"''","")),"")</f>
        <v/>
      </c>
      <c r="D157" s="9" t="str">
        <f>IF(ISNUMBER(Output!D156),IFERROR(ROUND(INT(Output!D156/12),3)&amp;"'-"&amp;INT(ROUND((Output!D156/12-INT(Output!D156/12))*12,3))&amp;" "&amp;IF(MROUND(ROUND((Output!D156/12-INT(Output!D156/12))*12,3)-INT(ROUND((Output!D156/12-INT(Output!D156/12))*12,3)),1/8)=0,"",VLOOKUP(MROUND((Output!D156/12-INT(Output!D156/12))*12-INT((Output!D156/12-INT(Output!D156/12))*12),1/8),fract[],2,FALSE))&amp;"''",""),"")</f>
        <v/>
      </c>
      <c r="E157" s="9" t="str">
        <f>IF(ISNUMBER(Output!E156),IF(Output!E156&gt;=12,IFERROR(ROUND(INT(Output!E156)/12,0)&amp;"'-"&amp;INT(ROUND((Output!E156/12-INT(Output!E156/12))*12,2))&amp;" "&amp;IF(MROUND(ROUND((Output!E156/12-INT(Output!E156/12))*12,3)-INT(ROUND((Output!E156/12-INT(Output!E156/12))*12,3)),1/8)=0,"",VLOOKUP(MROUND((Output!E156/12-INT(Output!E156/12))*12-INT((Output!E156/12-INT(Output!E156/12))*12),1/8),fract[],2,FALSE))&amp;"''",""),IFERROR(INT(Output!E156)&amp;" "&amp;IF(MROUND((Output!E156-INT(Output!E156)),1/8)=0,"",VLOOKUP(MROUND((Output!E156-INT(Output!E156)),1/8),fract[],2,FALSE))&amp;"''","")),"")</f>
        <v/>
      </c>
      <c r="F157" s="8"/>
      <c r="G157" s="8"/>
      <c r="H157" s="9" t="str">
        <f t="shared" si="4"/>
        <v/>
      </c>
      <c r="I157" s="9" t="str">
        <f t="shared" si="5"/>
        <v/>
      </c>
      <c r="J157" s="12" t="str">
        <f>IF(ISNUMBER(Output!F156),Output!F156,"")</f>
        <v/>
      </c>
      <c r="K157" s="12" t="str">
        <f>IF(ISNUMBER(Output!G156),Output!G156,"")</f>
        <v/>
      </c>
    </row>
    <row r="158" spans="1:11" ht="18" customHeight="1" x14ac:dyDescent="0.25">
      <c r="A158" s="9" t="str">
        <f>IF(ISBLANK(Output!A157),"",Output!A157)</f>
        <v/>
      </c>
      <c r="B158" s="9" t="str">
        <f>IF(ISBLANK(Output!B157),"",Output!B157)</f>
        <v/>
      </c>
      <c r="C158" s="9" t="str">
        <f>IF(ISNUMBER(Output!C157),IF(Output!C157&gt;=12,IFERROR(ROUND(INT(Output!C157)/12,0)&amp;"'-"&amp;INT(ROUND((Output!C157/12-INT(Output!C157/12))*12,2))&amp;" "&amp;IF(MROUND(ROUND((Output!C157/12-INT(Output!C157/12))*12,3)-INT(ROUND((Output!C157/12-INT(Output!C157/12))*12,3)),1/8)=0,"",VLOOKUP(MROUND((Output!C157/12-INT(Output!C157/12))*12-INT((Output!C157/12-INT(Output!C157/12))*12),1/8),fract[],2,FALSE))&amp;"''",""),IFERROR(INT(Output!C157)&amp;" "&amp;IF(MROUND((Output!C157-INT(Output!C157)),1/8)=0,"",VLOOKUP(MROUND((Output!C157-INT(Output!C157)),1/8),fract[],2,FALSE))&amp;"''","")),"")</f>
        <v/>
      </c>
      <c r="D158" s="9" t="str">
        <f>IF(ISNUMBER(Output!D157),IFERROR(ROUND(INT(Output!D157/12),3)&amp;"'-"&amp;INT(ROUND((Output!D157/12-INT(Output!D157/12))*12,3))&amp;" "&amp;IF(MROUND(ROUND((Output!D157/12-INT(Output!D157/12))*12,3)-INT(ROUND((Output!D157/12-INT(Output!D157/12))*12,3)),1/8)=0,"",VLOOKUP(MROUND((Output!D157/12-INT(Output!D157/12))*12-INT((Output!D157/12-INT(Output!D157/12))*12),1/8),fract[],2,FALSE))&amp;"''",""),"")</f>
        <v/>
      </c>
      <c r="E158" s="9" t="str">
        <f>IF(ISNUMBER(Output!E157),IF(Output!E157&gt;=12,IFERROR(ROUND(INT(Output!E157)/12,0)&amp;"'-"&amp;INT(ROUND((Output!E157/12-INT(Output!E157/12))*12,2))&amp;" "&amp;IF(MROUND(ROUND((Output!E157/12-INT(Output!E157/12))*12,3)-INT(ROUND((Output!E157/12-INT(Output!E157/12))*12,3)),1/8)=0,"",VLOOKUP(MROUND((Output!E157/12-INT(Output!E157/12))*12-INT((Output!E157/12-INT(Output!E157/12))*12),1/8),fract[],2,FALSE))&amp;"''",""),IFERROR(INT(Output!E157)&amp;" "&amp;IF(MROUND((Output!E157-INT(Output!E157)),1/8)=0,"",VLOOKUP(MROUND((Output!E157-INT(Output!E157)),1/8),fract[],2,FALSE))&amp;"''","")),"")</f>
        <v/>
      </c>
      <c r="F158" s="8"/>
      <c r="G158" s="8"/>
      <c r="H158" s="9" t="str">
        <f t="shared" si="4"/>
        <v/>
      </c>
      <c r="I158" s="9" t="str">
        <f t="shared" si="5"/>
        <v/>
      </c>
      <c r="J158" s="12" t="str">
        <f>IF(ISNUMBER(Output!F157),Output!F157,"")</f>
        <v/>
      </c>
      <c r="K158" s="12" t="str">
        <f>IF(ISNUMBER(Output!G157),Output!G157,"")</f>
        <v/>
      </c>
    </row>
    <row r="159" spans="1:11" ht="18" customHeight="1" x14ac:dyDescent="0.25">
      <c r="A159" s="9" t="str">
        <f>IF(ISBLANK(Output!A158),"",Output!A158)</f>
        <v/>
      </c>
      <c r="B159" s="9" t="str">
        <f>IF(ISBLANK(Output!B158),"",Output!B158)</f>
        <v/>
      </c>
      <c r="C159" s="9" t="str">
        <f>IF(ISNUMBER(Output!C158),IF(Output!C158&gt;=12,IFERROR(ROUND(INT(Output!C158)/12,0)&amp;"'-"&amp;INT(ROUND((Output!C158/12-INT(Output!C158/12))*12,2))&amp;" "&amp;IF(MROUND(ROUND((Output!C158/12-INT(Output!C158/12))*12,3)-INT(ROUND((Output!C158/12-INT(Output!C158/12))*12,3)),1/8)=0,"",VLOOKUP(MROUND((Output!C158/12-INT(Output!C158/12))*12-INT((Output!C158/12-INT(Output!C158/12))*12),1/8),fract[],2,FALSE))&amp;"''",""),IFERROR(INT(Output!C158)&amp;" "&amp;IF(MROUND((Output!C158-INT(Output!C158)),1/8)=0,"",VLOOKUP(MROUND((Output!C158-INT(Output!C158)),1/8),fract[],2,FALSE))&amp;"''","")),"")</f>
        <v/>
      </c>
      <c r="D159" s="9" t="str">
        <f>IF(ISNUMBER(Output!D158),IFERROR(ROUND(INT(Output!D158/12),3)&amp;"'-"&amp;INT(ROUND((Output!D158/12-INT(Output!D158/12))*12,3))&amp;" "&amp;IF(MROUND(ROUND((Output!D158/12-INT(Output!D158/12))*12,3)-INT(ROUND((Output!D158/12-INT(Output!D158/12))*12,3)),1/8)=0,"",VLOOKUP(MROUND((Output!D158/12-INT(Output!D158/12))*12-INT((Output!D158/12-INT(Output!D158/12))*12),1/8),fract[],2,FALSE))&amp;"''",""),"")</f>
        <v/>
      </c>
      <c r="E159" s="9" t="str">
        <f>IF(ISNUMBER(Output!E158),IF(Output!E158&gt;=12,IFERROR(ROUND(INT(Output!E158)/12,0)&amp;"'-"&amp;INT(ROUND((Output!E158/12-INT(Output!E158/12))*12,2))&amp;" "&amp;IF(MROUND(ROUND((Output!E158/12-INT(Output!E158/12))*12,3)-INT(ROUND((Output!E158/12-INT(Output!E158/12))*12,3)),1/8)=0,"",VLOOKUP(MROUND((Output!E158/12-INT(Output!E158/12))*12-INT((Output!E158/12-INT(Output!E158/12))*12),1/8),fract[],2,FALSE))&amp;"''",""),IFERROR(INT(Output!E158)&amp;" "&amp;IF(MROUND((Output!E158-INT(Output!E158)),1/8)=0,"",VLOOKUP(MROUND((Output!E158-INT(Output!E158)),1/8),fract[],2,FALSE))&amp;"''","")),"")</f>
        <v/>
      </c>
      <c r="F159" s="8"/>
      <c r="G159" s="8"/>
      <c r="H159" s="9" t="str">
        <f t="shared" si="4"/>
        <v/>
      </c>
      <c r="I159" s="9" t="str">
        <f t="shared" si="5"/>
        <v/>
      </c>
      <c r="J159" s="12" t="str">
        <f>IF(ISNUMBER(Output!F158),Output!F158,"")</f>
        <v/>
      </c>
      <c r="K159" s="12" t="str">
        <f>IF(ISNUMBER(Output!G158),Output!G158,"")</f>
        <v/>
      </c>
    </row>
    <row r="160" spans="1:11" ht="18" customHeight="1" x14ac:dyDescent="0.25">
      <c r="A160" s="9" t="str">
        <f>IF(ISBLANK(Output!A159),"",Output!A159)</f>
        <v/>
      </c>
      <c r="B160" s="9" t="str">
        <f>IF(ISBLANK(Output!B159),"",Output!B159)</f>
        <v/>
      </c>
      <c r="C160" s="9" t="str">
        <f>IF(ISNUMBER(Output!C159),IF(Output!C159&gt;=12,IFERROR(ROUND(INT(Output!C159)/12,0)&amp;"'-"&amp;INT(ROUND((Output!C159/12-INT(Output!C159/12))*12,2))&amp;" "&amp;IF(MROUND(ROUND((Output!C159/12-INT(Output!C159/12))*12,3)-INT(ROUND((Output!C159/12-INT(Output!C159/12))*12,3)),1/8)=0,"",VLOOKUP(MROUND((Output!C159/12-INT(Output!C159/12))*12-INT((Output!C159/12-INT(Output!C159/12))*12),1/8),fract[],2,FALSE))&amp;"''",""),IFERROR(INT(Output!C159)&amp;" "&amp;IF(MROUND((Output!C159-INT(Output!C159)),1/8)=0,"",VLOOKUP(MROUND((Output!C159-INT(Output!C159)),1/8),fract[],2,FALSE))&amp;"''","")),"")</f>
        <v/>
      </c>
      <c r="D160" s="9" t="str">
        <f>IF(ISNUMBER(Output!D159),IFERROR(ROUND(INT(Output!D159/12),3)&amp;"'-"&amp;INT(ROUND((Output!D159/12-INT(Output!D159/12))*12,3))&amp;" "&amp;IF(MROUND(ROUND((Output!D159/12-INT(Output!D159/12))*12,3)-INT(ROUND((Output!D159/12-INT(Output!D159/12))*12,3)),1/8)=0,"",VLOOKUP(MROUND((Output!D159/12-INT(Output!D159/12))*12-INT((Output!D159/12-INT(Output!D159/12))*12),1/8),fract[],2,FALSE))&amp;"''",""),"")</f>
        <v/>
      </c>
      <c r="E160" s="9" t="str">
        <f>IF(ISNUMBER(Output!E159),IF(Output!E159&gt;=12,IFERROR(ROUND(INT(Output!E159)/12,0)&amp;"'-"&amp;INT(ROUND((Output!E159/12-INT(Output!E159/12))*12,2))&amp;" "&amp;IF(MROUND(ROUND((Output!E159/12-INT(Output!E159/12))*12,3)-INT(ROUND((Output!E159/12-INT(Output!E159/12))*12,3)),1/8)=0,"",VLOOKUP(MROUND((Output!E159/12-INT(Output!E159/12))*12-INT((Output!E159/12-INT(Output!E159/12))*12),1/8),fract[],2,FALSE))&amp;"''",""),IFERROR(INT(Output!E159)&amp;" "&amp;IF(MROUND((Output!E159-INT(Output!E159)),1/8)=0,"",VLOOKUP(MROUND((Output!E159-INT(Output!E159)),1/8),fract[],2,FALSE))&amp;"''","")),"")</f>
        <v/>
      </c>
      <c r="F160" s="8"/>
      <c r="G160" s="8"/>
      <c r="H160" s="9" t="str">
        <f t="shared" si="4"/>
        <v/>
      </c>
      <c r="I160" s="9" t="str">
        <f t="shared" si="5"/>
        <v/>
      </c>
      <c r="J160" s="12" t="str">
        <f>IF(ISNUMBER(Output!F159),Output!F159,"")</f>
        <v/>
      </c>
      <c r="K160" s="12" t="str">
        <f>IF(ISNUMBER(Output!G159),Output!G159,"")</f>
        <v/>
      </c>
    </row>
    <row r="161" spans="1:11" ht="18" customHeight="1" x14ac:dyDescent="0.25">
      <c r="A161" s="9" t="str">
        <f>IF(ISBLANK(Output!A160),"",Output!A160)</f>
        <v/>
      </c>
      <c r="B161" s="9" t="str">
        <f>IF(ISBLANK(Output!B160),"",Output!B160)</f>
        <v/>
      </c>
      <c r="C161" s="9" t="str">
        <f>IF(ISNUMBER(Output!C160),IF(Output!C160&gt;=12,IFERROR(ROUND(INT(Output!C160)/12,0)&amp;"'-"&amp;INT(ROUND((Output!C160/12-INT(Output!C160/12))*12,2))&amp;" "&amp;IF(MROUND(ROUND((Output!C160/12-INT(Output!C160/12))*12,3)-INT(ROUND((Output!C160/12-INT(Output!C160/12))*12,3)),1/8)=0,"",VLOOKUP(MROUND((Output!C160/12-INT(Output!C160/12))*12-INT((Output!C160/12-INT(Output!C160/12))*12),1/8),fract[],2,FALSE))&amp;"''",""),IFERROR(INT(Output!C160)&amp;" "&amp;IF(MROUND((Output!C160-INT(Output!C160)),1/8)=0,"",VLOOKUP(MROUND((Output!C160-INT(Output!C160)),1/8),fract[],2,FALSE))&amp;"''","")),"")</f>
        <v/>
      </c>
      <c r="D161" s="9" t="str">
        <f>IF(ISNUMBER(Output!D160),IFERROR(ROUND(INT(Output!D160/12),3)&amp;"'-"&amp;INT(ROUND((Output!D160/12-INT(Output!D160/12))*12,3))&amp;" "&amp;IF(MROUND(ROUND((Output!D160/12-INT(Output!D160/12))*12,3)-INT(ROUND((Output!D160/12-INT(Output!D160/12))*12,3)),1/8)=0,"",VLOOKUP(MROUND((Output!D160/12-INT(Output!D160/12))*12-INT((Output!D160/12-INT(Output!D160/12))*12),1/8),fract[],2,FALSE))&amp;"''",""),"")</f>
        <v/>
      </c>
      <c r="E161" s="9" t="str">
        <f>IF(ISNUMBER(Output!E160),IF(Output!E160&gt;=12,IFERROR(ROUND(INT(Output!E160)/12,0)&amp;"'-"&amp;INT(ROUND((Output!E160/12-INT(Output!E160/12))*12,2))&amp;" "&amp;IF(MROUND(ROUND((Output!E160/12-INT(Output!E160/12))*12,3)-INT(ROUND((Output!E160/12-INT(Output!E160/12))*12,3)),1/8)=0,"",VLOOKUP(MROUND((Output!E160/12-INT(Output!E160/12))*12-INT((Output!E160/12-INT(Output!E160/12))*12),1/8),fract[],2,FALSE))&amp;"''",""),IFERROR(INT(Output!E160)&amp;" "&amp;IF(MROUND((Output!E160-INT(Output!E160)),1/8)=0,"",VLOOKUP(MROUND((Output!E160-INT(Output!E160)),1/8),fract[],2,FALSE))&amp;"''","")),"")</f>
        <v/>
      </c>
      <c r="F161" s="8"/>
      <c r="G161" s="8"/>
      <c r="H161" s="9" t="str">
        <f t="shared" si="4"/>
        <v/>
      </c>
      <c r="I161" s="9" t="str">
        <f t="shared" si="5"/>
        <v/>
      </c>
      <c r="J161" s="12" t="str">
        <f>IF(ISNUMBER(Output!F160),Output!F160,"")</f>
        <v/>
      </c>
      <c r="K161" s="12" t="str">
        <f>IF(ISNUMBER(Output!G160),Output!G160,"")</f>
        <v/>
      </c>
    </row>
    <row r="162" spans="1:11" ht="18" customHeight="1" x14ac:dyDescent="0.25">
      <c r="A162" s="9" t="str">
        <f>IF(ISBLANK(Output!A161),"",Output!A161)</f>
        <v/>
      </c>
      <c r="B162" s="9" t="str">
        <f>IF(ISBLANK(Output!B161),"",Output!B161)</f>
        <v/>
      </c>
      <c r="C162" s="9" t="str">
        <f>IF(ISNUMBER(Output!C161),IF(Output!C161&gt;=12,IFERROR(ROUND(INT(Output!C161)/12,0)&amp;"'-"&amp;INT(ROUND((Output!C161/12-INT(Output!C161/12))*12,2))&amp;" "&amp;IF(MROUND(ROUND((Output!C161/12-INT(Output!C161/12))*12,3)-INT(ROUND((Output!C161/12-INT(Output!C161/12))*12,3)),1/8)=0,"",VLOOKUP(MROUND((Output!C161/12-INT(Output!C161/12))*12-INT((Output!C161/12-INT(Output!C161/12))*12),1/8),fract[],2,FALSE))&amp;"''",""),IFERROR(INT(Output!C161)&amp;" "&amp;IF(MROUND((Output!C161-INT(Output!C161)),1/8)=0,"",VLOOKUP(MROUND((Output!C161-INT(Output!C161)),1/8),fract[],2,FALSE))&amp;"''","")),"")</f>
        <v/>
      </c>
      <c r="D162" s="9" t="str">
        <f>IF(ISNUMBER(Output!D161),IFERROR(ROUND(INT(Output!D161/12),3)&amp;"'-"&amp;INT(ROUND((Output!D161/12-INT(Output!D161/12))*12,3))&amp;" "&amp;IF(MROUND(ROUND((Output!D161/12-INT(Output!D161/12))*12,3)-INT(ROUND((Output!D161/12-INT(Output!D161/12))*12,3)),1/8)=0,"",VLOOKUP(MROUND((Output!D161/12-INT(Output!D161/12))*12-INT((Output!D161/12-INT(Output!D161/12))*12),1/8),fract[],2,FALSE))&amp;"''",""),"")</f>
        <v/>
      </c>
      <c r="E162" s="9" t="str">
        <f>IF(ISNUMBER(Output!E161),IF(Output!E161&gt;=12,IFERROR(ROUND(INT(Output!E161)/12,0)&amp;"'-"&amp;INT(ROUND((Output!E161/12-INT(Output!E161/12))*12,2))&amp;" "&amp;IF(MROUND(ROUND((Output!E161/12-INT(Output!E161/12))*12,3)-INT(ROUND((Output!E161/12-INT(Output!E161/12))*12,3)),1/8)=0,"",VLOOKUP(MROUND((Output!E161/12-INT(Output!E161/12))*12-INT((Output!E161/12-INT(Output!E161/12))*12),1/8),fract[],2,FALSE))&amp;"''",""),IFERROR(INT(Output!E161)&amp;" "&amp;IF(MROUND((Output!E161-INT(Output!E161)),1/8)=0,"",VLOOKUP(MROUND((Output!E161-INT(Output!E161)),1/8),fract[],2,FALSE))&amp;"''","")),"")</f>
        <v/>
      </c>
      <c r="F162" s="8"/>
      <c r="G162" s="8"/>
      <c r="H162" s="9" t="str">
        <f t="shared" si="4"/>
        <v/>
      </c>
      <c r="I162" s="9" t="str">
        <f t="shared" si="5"/>
        <v/>
      </c>
      <c r="J162" s="12" t="str">
        <f>IF(ISNUMBER(Output!F161),Output!F161,"")</f>
        <v/>
      </c>
      <c r="K162" s="12" t="str">
        <f>IF(ISNUMBER(Output!G161),Output!G161,"")</f>
        <v/>
      </c>
    </row>
    <row r="163" spans="1:11" ht="18" customHeight="1" x14ac:dyDescent="0.25">
      <c r="A163" s="9" t="str">
        <f>IF(ISBLANK(Output!A162),"",Output!A162)</f>
        <v/>
      </c>
      <c r="B163" s="9" t="str">
        <f>IF(ISBLANK(Output!B162),"",Output!B162)</f>
        <v/>
      </c>
      <c r="C163" s="9" t="str">
        <f>IF(ISNUMBER(Output!C162),IF(Output!C162&gt;=12,IFERROR(ROUND(INT(Output!C162)/12,0)&amp;"'-"&amp;INT(ROUND((Output!C162/12-INT(Output!C162/12))*12,2))&amp;" "&amp;IF(MROUND(ROUND((Output!C162/12-INT(Output!C162/12))*12,3)-INT(ROUND((Output!C162/12-INT(Output!C162/12))*12,3)),1/8)=0,"",VLOOKUP(MROUND((Output!C162/12-INT(Output!C162/12))*12-INT((Output!C162/12-INT(Output!C162/12))*12),1/8),fract[],2,FALSE))&amp;"''",""),IFERROR(INT(Output!C162)&amp;" "&amp;IF(MROUND((Output!C162-INT(Output!C162)),1/8)=0,"",VLOOKUP(MROUND((Output!C162-INT(Output!C162)),1/8),fract[],2,FALSE))&amp;"''","")),"")</f>
        <v/>
      </c>
      <c r="D163" s="9" t="str">
        <f>IF(ISNUMBER(Output!D162),IFERROR(ROUND(INT(Output!D162/12),3)&amp;"'-"&amp;INT(ROUND((Output!D162/12-INT(Output!D162/12))*12,3))&amp;" "&amp;IF(MROUND(ROUND((Output!D162/12-INT(Output!D162/12))*12,3)-INT(ROUND((Output!D162/12-INT(Output!D162/12))*12,3)),1/8)=0,"",VLOOKUP(MROUND((Output!D162/12-INT(Output!D162/12))*12-INT((Output!D162/12-INT(Output!D162/12))*12),1/8),fract[],2,FALSE))&amp;"''",""),"")</f>
        <v/>
      </c>
      <c r="E163" s="9" t="str">
        <f>IF(ISNUMBER(Output!E162),IF(Output!E162&gt;=12,IFERROR(ROUND(INT(Output!E162)/12,0)&amp;"'-"&amp;INT(ROUND((Output!E162/12-INT(Output!E162/12))*12,2))&amp;" "&amp;IF(MROUND(ROUND((Output!E162/12-INT(Output!E162/12))*12,3)-INT(ROUND((Output!E162/12-INT(Output!E162/12))*12,3)),1/8)=0,"",VLOOKUP(MROUND((Output!E162/12-INT(Output!E162/12))*12-INT((Output!E162/12-INT(Output!E162/12))*12),1/8),fract[],2,FALSE))&amp;"''",""),IFERROR(INT(Output!E162)&amp;" "&amp;IF(MROUND((Output!E162-INT(Output!E162)),1/8)=0,"",VLOOKUP(MROUND((Output!E162-INT(Output!E162)),1/8),fract[],2,FALSE))&amp;"''","")),"")</f>
        <v/>
      </c>
      <c r="F163" s="8"/>
      <c r="G163" s="8"/>
      <c r="H163" s="9" t="str">
        <f t="shared" si="4"/>
        <v/>
      </c>
      <c r="I163" s="9" t="str">
        <f t="shared" si="5"/>
        <v/>
      </c>
      <c r="J163" s="12" t="str">
        <f>IF(ISNUMBER(Output!F162),Output!F162,"")</f>
        <v/>
      </c>
      <c r="K163" s="12" t="str">
        <f>IF(ISNUMBER(Output!G162),Output!G162,"")</f>
        <v/>
      </c>
    </row>
    <row r="164" spans="1:11" ht="18" customHeight="1" x14ac:dyDescent="0.25">
      <c r="A164" s="9" t="str">
        <f>IF(ISBLANK(Output!A163),"",Output!A163)</f>
        <v/>
      </c>
      <c r="B164" s="9" t="str">
        <f>IF(ISBLANK(Output!B163),"",Output!B163)</f>
        <v/>
      </c>
      <c r="C164" s="9" t="str">
        <f>IF(ISNUMBER(Output!C163),IF(Output!C163&gt;=12,IFERROR(ROUND(INT(Output!C163)/12,0)&amp;"'-"&amp;INT(ROUND((Output!C163/12-INT(Output!C163/12))*12,2))&amp;" "&amp;IF(MROUND(ROUND((Output!C163/12-INT(Output!C163/12))*12,3)-INT(ROUND((Output!C163/12-INT(Output!C163/12))*12,3)),1/8)=0,"",VLOOKUP(MROUND((Output!C163/12-INT(Output!C163/12))*12-INT((Output!C163/12-INT(Output!C163/12))*12),1/8),fract[],2,FALSE))&amp;"''",""),IFERROR(INT(Output!C163)&amp;" "&amp;IF(MROUND((Output!C163-INT(Output!C163)),1/8)=0,"",VLOOKUP(MROUND((Output!C163-INT(Output!C163)),1/8),fract[],2,FALSE))&amp;"''","")),"")</f>
        <v/>
      </c>
      <c r="D164" s="9" t="str">
        <f>IF(ISNUMBER(Output!D163),IFERROR(ROUND(INT(Output!D163/12),3)&amp;"'-"&amp;INT(ROUND((Output!D163/12-INT(Output!D163/12))*12,3))&amp;" "&amp;IF(MROUND(ROUND((Output!D163/12-INT(Output!D163/12))*12,3)-INT(ROUND((Output!D163/12-INT(Output!D163/12))*12,3)),1/8)=0,"",VLOOKUP(MROUND((Output!D163/12-INT(Output!D163/12))*12-INT((Output!D163/12-INT(Output!D163/12))*12),1/8),fract[],2,FALSE))&amp;"''",""),"")</f>
        <v/>
      </c>
      <c r="E164" s="9" t="str">
        <f>IF(ISNUMBER(Output!E163),IF(Output!E163&gt;=12,IFERROR(ROUND(INT(Output!E163)/12,0)&amp;"'-"&amp;INT(ROUND((Output!E163/12-INT(Output!E163/12))*12,2))&amp;" "&amp;IF(MROUND(ROUND((Output!E163/12-INT(Output!E163/12))*12,3)-INT(ROUND((Output!E163/12-INT(Output!E163/12))*12,3)),1/8)=0,"",VLOOKUP(MROUND((Output!E163/12-INT(Output!E163/12))*12-INT((Output!E163/12-INT(Output!E163/12))*12),1/8),fract[],2,FALSE))&amp;"''",""),IFERROR(INT(Output!E163)&amp;" "&amp;IF(MROUND((Output!E163-INT(Output!E163)),1/8)=0,"",VLOOKUP(MROUND((Output!E163-INT(Output!E163)),1/8),fract[],2,FALSE))&amp;"''","")),"")</f>
        <v/>
      </c>
      <c r="F164" s="8"/>
      <c r="G164" s="8"/>
      <c r="H164" s="9" t="str">
        <f t="shared" si="4"/>
        <v/>
      </c>
      <c r="I164" s="9" t="str">
        <f t="shared" si="5"/>
        <v/>
      </c>
      <c r="J164" s="12" t="str">
        <f>IF(ISNUMBER(Output!F163),Output!F163,"")</f>
        <v/>
      </c>
      <c r="K164" s="12" t="str">
        <f>IF(ISNUMBER(Output!G163),Output!G163,"")</f>
        <v/>
      </c>
    </row>
    <row r="165" spans="1:11" ht="18" customHeight="1" x14ac:dyDescent="0.25">
      <c r="A165" s="9" t="str">
        <f>IF(ISBLANK(Output!A164),"",Output!A164)</f>
        <v/>
      </c>
      <c r="B165" s="9" t="str">
        <f>IF(ISBLANK(Output!B164),"",Output!B164)</f>
        <v/>
      </c>
      <c r="C165" s="9" t="str">
        <f>IF(ISNUMBER(Output!C164),IF(Output!C164&gt;=12,IFERROR(ROUND(INT(Output!C164)/12,0)&amp;"'-"&amp;INT(ROUND((Output!C164/12-INT(Output!C164/12))*12,2))&amp;" "&amp;IF(MROUND(ROUND((Output!C164/12-INT(Output!C164/12))*12,3)-INT(ROUND((Output!C164/12-INT(Output!C164/12))*12,3)),1/8)=0,"",VLOOKUP(MROUND((Output!C164/12-INT(Output!C164/12))*12-INT((Output!C164/12-INT(Output!C164/12))*12),1/8),fract[],2,FALSE))&amp;"''",""),IFERROR(INT(Output!C164)&amp;" "&amp;IF(MROUND((Output!C164-INT(Output!C164)),1/8)=0,"",VLOOKUP(MROUND((Output!C164-INT(Output!C164)),1/8),fract[],2,FALSE))&amp;"''","")),"")</f>
        <v/>
      </c>
      <c r="D165" s="9" t="str">
        <f>IF(ISNUMBER(Output!D164),IFERROR(ROUND(INT(Output!D164/12),3)&amp;"'-"&amp;INT(ROUND((Output!D164/12-INT(Output!D164/12))*12,3))&amp;" "&amp;IF(MROUND(ROUND((Output!D164/12-INT(Output!D164/12))*12,3)-INT(ROUND((Output!D164/12-INT(Output!D164/12))*12,3)),1/8)=0,"",VLOOKUP(MROUND((Output!D164/12-INT(Output!D164/12))*12-INT((Output!D164/12-INT(Output!D164/12))*12),1/8),fract[],2,FALSE))&amp;"''",""),"")</f>
        <v/>
      </c>
      <c r="E165" s="9" t="str">
        <f>IF(ISNUMBER(Output!E164),IF(Output!E164&gt;=12,IFERROR(ROUND(INT(Output!E164)/12,0)&amp;"'-"&amp;INT(ROUND((Output!E164/12-INT(Output!E164/12))*12,2))&amp;" "&amp;IF(MROUND(ROUND((Output!E164/12-INT(Output!E164/12))*12,3)-INT(ROUND((Output!E164/12-INT(Output!E164/12))*12,3)),1/8)=0,"",VLOOKUP(MROUND((Output!E164/12-INT(Output!E164/12))*12-INT((Output!E164/12-INT(Output!E164/12))*12),1/8),fract[],2,FALSE))&amp;"''",""),IFERROR(INT(Output!E164)&amp;" "&amp;IF(MROUND((Output!E164-INT(Output!E164)),1/8)=0,"",VLOOKUP(MROUND((Output!E164-INT(Output!E164)),1/8),fract[],2,FALSE))&amp;"''","")),"")</f>
        <v/>
      </c>
      <c r="F165" s="8"/>
      <c r="G165" s="8"/>
      <c r="H165" s="9" t="str">
        <f t="shared" si="4"/>
        <v/>
      </c>
      <c r="I165" s="9" t="str">
        <f t="shared" si="5"/>
        <v/>
      </c>
      <c r="J165" s="12" t="str">
        <f>IF(ISNUMBER(Output!F164),Output!F164,"")</f>
        <v/>
      </c>
      <c r="K165" s="12" t="str">
        <f>IF(ISNUMBER(Output!G164),Output!G164,"")</f>
        <v/>
      </c>
    </row>
    <row r="166" spans="1:11" ht="18" customHeight="1" x14ac:dyDescent="0.25">
      <c r="A166" s="9" t="str">
        <f>IF(ISBLANK(Output!A165),"",Output!A165)</f>
        <v/>
      </c>
      <c r="B166" s="9" t="str">
        <f>IF(ISBLANK(Output!B165),"",Output!B165)</f>
        <v/>
      </c>
      <c r="C166" s="9" t="str">
        <f>IF(ISNUMBER(Output!C165),IF(Output!C165&gt;=12,IFERROR(ROUND(INT(Output!C165)/12,0)&amp;"'-"&amp;INT(ROUND((Output!C165/12-INT(Output!C165/12))*12,2))&amp;" "&amp;IF(MROUND(ROUND((Output!C165/12-INT(Output!C165/12))*12,3)-INT(ROUND((Output!C165/12-INT(Output!C165/12))*12,3)),1/8)=0,"",VLOOKUP(MROUND((Output!C165/12-INT(Output!C165/12))*12-INT((Output!C165/12-INT(Output!C165/12))*12),1/8),fract[],2,FALSE))&amp;"''",""),IFERROR(INT(Output!C165)&amp;" "&amp;IF(MROUND((Output!C165-INT(Output!C165)),1/8)=0,"",VLOOKUP(MROUND((Output!C165-INT(Output!C165)),1/8),fract[],2,FALSE))&amp;"''","")),"")</f>
        <v/>
      </c>
      <c r="D166" s="9" t="str">
        <f>IF(ISNUMBER(Output!D165),IFERROR(ROUND(INT(Output!D165/12),3)&amp;"'-"&amp;INT(ROUND((Output!D165/12-INT(Output!D165/12))*12,3))&amp;" "&amp;IF(MROUND(ROUND((Output!D165/12-INT(Output!D165/12))*12,3)-INT(ROUND((Output!D165/12-INT(Output!D165/12))*12,3)),1/8)=0,"",VLOOKUP(MROUND((Output!D165/12-INT(Output!D165/12))*12-INT((Output!D165/12-INT(Output!D165/12))*12),1/8),fract[],2,FALSE))&amp;"''",""),"")</f>
        <v/>
      </c>
      <c r="E166" s="9" t="str">
        <f>IF(ISNUMBER(Output!E165),IF(Output!E165&gt;=12,IFERROR(ROUND(INT(Output!E165)/12,0)&amp;"'-"&amp;INT(ROUND((Output!E165/12-INT(Output!E165/12))*12,2))&amp;" "&amp;IF(MROUND(ROUND((Output!E165/12-INT(Output!E165/12))*12,3)-INT(ROUND((Output!E165/12-INT(Output!E165/12))*12,3)),1/8)=0,"",VLOOKUP(MROUND((Output!E165/12-INT(Output!E165/12))*12-INT((Output!E165/12-INT(Output!E165/12))*12),1/8),fract[],2,FALSE))&amp;"''",""),IFERROR(INT(Output!E165)&amp;" "&amp;IF(MROUND((Output!E165-INT(Output!E165)),1/8)=0,"",VLOOKUP(MROUND((Output!E165-INT(Output!E165)),1/8),fract[],2,FALSE))&amp;"''","")),"")</f>
        <v/>
      </c>
      <c r="F166" s="8"/>
      <c r="G166" s="8"/>
      <c r="H166" s="9" t="str">
        <f t="shared" si="4"/>
        <v/>
      </c>
      <c r="I166" s="9" t="str">
        <f t="shared" si="5"/>
        <v/>
      </c>
      <c r="J166" s="12" t="str">
        <f>IF(ISNUMBER(Output!F165),Output!F165,"")</f>
        <v/>
      </c>
      <c r="K166" s="12" t="str">
        <f>IF(ISNUMBER(Output!G165),Output!G165,"")</f>
        <v/>
      </c>
    </row>
    <row r="167" spans="1:11" ht="18" customHeight="1" x14ac:dyDescent="0.25">
      <c r="A167" s="9" t="str">
        <f>IF(ISBLANK(Output!A166),"",Output!A166)</f>
        <v/>
      </c>
      <c r="B167" s="9" t="str">
        <f>IF(ISBLANK(Output!B166),"",Output!B166)</f>
        <v/>
      </c>
      <c r="C167" s="9" t="str">
        <f>IF(ISNUMBER(Output!C166),IF(Output!C166&gt;=12,IFERROR(ROUND(INT(Output!C166)/12,0)&amp;"'-"&amp;INT(ROUND((Output!C166/12-INT(Output!C166/12))*12,2))&amp;" "&amp;IF(MROUND(ROUND((Output!C166/12-INT(Output!C166/12))*12,3)-INT(ROUND((Output!C166/12-INT(Output!C166/12))*12,3)),1/8)=0,"",VLOOKUP(MROUND((Output!C166/12-INT(Output!C166/12))*12-INT((Output!C166/12-INT(Output!C166/12))*12),1/8),fract[],2,FALSE))&amp;"''",""),IFERROR(INT(Output!C166)&amp;" "&amp;IF(MROUND((Output!C166-INT(Output!C166)),1/8)=0,"",VLOOKUP(MROUND((Output!C166-INT(Output!C166)),1/8),fract[],2,FALSE))&amp;"''","")),"")</f>
        <v/>
      </c>
      <c r="D167" s="9" t="str">
        <f>IF(ISNUMBER(Output!D166),IFERROR(ROUND(INT(Output!D166/12),3)&amp;"'-"&amp;INT(ROUND((Output!D166/12-INT(Output!D166/12))*12,3))&amp;" "&amp;IF(MROUND(ROUND((Output!D166/12-INT(Output!D166/12))*12,3)-INT(ROUND((Output!D166/12-INT(Output!D166/12))*12,3)),1/8)=0,"",VLOOKUP(MROUND((Output!D166/12-INT(Output!D166/12))*12-INT((Output!D166/12-INT(Output!D166/12))*12),1/8),fract[],2,FALSE))&amp;"''",""),"")</f>
        <v/>
      </c>
      <c r="E167" s="9" t="str">
        <f>IF(ISNUMBER(Output!E166),IF(Output!E166&gt;=12,IFERROR(ROUND(INT(Output!E166)/12,0)&amp;"'-"&amp;INT(ROUND((Output!E166/12-INT(Output!E166/12))*12,2))&amp;" "&amp;IF(MROUND(ROUND((Output!E166/12-INT(Output!E166/12))*12,3)-INT(ROUND((Output!E166/12-INT(Output!E166/12))*12,3)),1/8)=0,"",VLOOKUP(MROUND((Output!E166/12-INT(Output!E166/12))*12-INT((Output!E166/12-INT(Output!E166/12))*12),1/8),fract[],2,FALSE))&amp;"''",""),IFERROR(INT(Output!E166)&amp;" "&amp;IF(MROUND((Output!E166-INT(Output!E166)),1/8)=0,"",VLOOKUP(MROUND((Output!E166-INT(Output!E166)),1/8),fract[],2,FALSE))&amp;"''","")),"")</f>
        <v/>
      </c>
      <c r="F167" s="8"/>
      <c r="G167" s="8"/>
      <c r="H167" s="9" t="str">
        <f t="shared" si="4"/>
        <v/>
      </c>
      <c r="I167" s="9" t="str">
        <f t="shared" si="5"/>
        <v/>
      </c>
      <c r="J167" s="12" t="str">
        <f>IF(ISNUMBER(Output!F166),Output!F166,"")</f>
        <v/>
      </c>
      <c r="K167" s="12" t="str">
        <f>IF(ISNUMBER(Output!G166),Output!G166,"")</f>
        <v/>
      </c>
    </row>
    <row r="168" spans="1:11" ht="18" customHeight="1" x14ac:dyDescent="0.25">
      <c r="A168" s="9" t="str">
        <f>IF(ISBLANK(Output!A167),"",Output!A167)</f>
        <v/>
      </c>
      <c r="B168" s="9" t="str">
        <f>IF(ISBLANK(Output!B167),"",Output!B167)</f>
        <v/>
      </c>
      <c r="C168" s="9" t="str">
        <f>IF(ISNUMBER(Output!C167),IF(Output!C167&gt;=12,IFERROR(ROUND(INT(Output!C167)/12,0)&amp;"'-"&amp;INT(ROUND((Output!C167/12-INT(Output!C167/12))*12,2))&amp;" "&amp;IF(MROUND(ROUND((Output!C167/12-INT(Output!C167/12))*12,3)-INT(ROUND((Output!C167/12-INT(Output!C167/12))*12,3)),1/8)=0,"",VLOOKUP(MROUND((Output!C167/12-INT(Output!C167/12))*12-INT((Output!C167/12-INT(Output!C167/12))*12),1/8),fract[],2,FALSE))&amp;"''",""),IFERROR(INT(Output!C167)&amp;" "&amp;IF(MROUND((Output!C167-INT(Output!C167)),1/8)=0,"",VLOOKUP(MROUND((Output!C167-INT(Output!C167)),1/8),fract[],2,FALSE))&amp;"''","")),"")</f>
        <v/>
      </c>
      <c r="D168" s="9" t="str">
        <f>IF(ISNUMBER(Output!D167),IFERROR(ROUND(INT(Output!D167/12),3)&amp;"'-"&amp;INT(ROUND((Output!D167/12-INT(Output!D167/12))*12,3))&amp;" "&amp;IF(MROUND(ROUND((Output!D167/12-INT(Output!D167/12))*12,3)-INT(ROUND((Output!D167/12-INT(Output!D167/12))*12,3)),1/8)=0,"",VLOOKUP(MROUND((Output!D167/12-INT(Output!D167/12))*12-INT((Output!D167/12-INT(Output!D167/12))*12),1/8),fract[],2,FALSE))&amp;"''",""),"")</f>
        <v/>
      </c>
      <c r="E168" s="9" t="str">
        <f>IF(ISNUMBER(Output!E167),IF(Output!E167&gt;=12,IFERROR(ROUND(INT(Output!E167)/12,0)&amp;"'-"&amp;INT(ROUND((Output!E167/12-INT(Output!E167/12))*12,2))&amp;" "&amp;IF(MROUND(ROUND((Output!E167/12-INT(Output!E167/12))*12,3)-INT(ROUND((Output!E167/12-INT(Output!E167/12))*12,3)),1/8)=0,"",VLOOKUP(MROUND((Output!E167/12-INT(Output!E167/12))*12-INT((Output!E167/12-INT(Output!E167/12))*12),1/8),fract[],2,FALSE))&amp;"''",""),IFERROR(INT(Output!E167)&amp;" "&amp;IF(MROUND((Output!E167-INT(Output!E167)),1/8)=0,"",VLOOKUP(MROUND((Output!E167-INT(Output!E167)),1/8),fract[],2,FALSE))&amp;"''","")),"")</f>
        <v/>
      </c>
      <c r="F168" s="8"/>
      <c r="G168" s="8"/>
      <c r="H168" s="9" t="str">
        <f t="shared" si="4"/>
        <v/>
      </c>
      <c r="I168" s="9" t="str">
        <f t="shared" si="5"/>
        <v/>
      </c>
      <c r="J168" s="12" t="str">
        <f>IF(ISNUMBER(Output!F167),Output!F167,"")</f>
        <v/>
      </c>
      <c r="K168" s="12" t="str">
        <f>IF(ISNUMBER(Output!G167),Output!G167,"")</f>
        <v/>
      </c>
    </row>
    <row r="169" spans="1:11" ht="18" customHeight="1" x14ac:dyDescent="0.25">
      <c r="A169" s="9" t="str">
        <f>IF(ISBLANK(Output!A168),"",Output!A168)</f>
        <v/>
      </c>
      <c r="B169" s="9" t="str">
        <f>IF(ISBLANK(Output!B168),"",Output!B168)</f>
        <v/>
      </c>
      <c r="C169" s="9" t="str">
        <f>IF(ISNUMBER(Output!C168),IF(Output!C168&gt;=12,IFERROR(ROUND(INT(Output!C168)/12,0)&amp;"'-"&amp;INT(ROUND((Output!C168/12-INT(Output!C168/12))*12,2))&amp;" "&amp;IF(MROUND(ROUND((Output!C168/12-INT(Output!C168/12))*12,3)-INT(ROUND((Output!C168/12-INT(Output!C168/12))*12,3)),1/8)=0,"",VLOOKUP(MROUND((Output!C168/12-INT(Output!C168/12))*12-INT((Output!C168/12-INT(Output!C168/12))*12),1/8),fract[],2,FALSE))&amp;"''",""),IFERROR(INT(Output!C168)&amp;" "&amp;IF(MROUND((Output!C168-INT(Output!C168)),1/8)=0,"",VLOOKUP(MROUND((Output!C168-INT(Output!C168)),1/8),fract[],2,FALSE))&amp;"''","")),"")</f>
        <v/>
      </c>
      <c r="D169" s="9" t="str">
        <f>IF(ISNUMBER(Output!D168),IFERROR(ROUND(INT(Output!D168/12),3)&amp;"'-"&amp;INT(ROUND((Output!D168/12-INT(Output!D168/12))*12,3))&amp;" "&amp;IF(MROUND(ROUND((Output!D168/12-INT(Output!D168/12))*12,3)-INT(ROUND((Output!D168/12-INT(Output!D168/12))*12,3)),1/8)=0,"",VLOOKUP(MROUND((Output!D168/12-INT(Output!D168/12))*12-INT((Output!D168/12-INT(Output!D168/12))*12),1/8),fract[],2,FALSE))&amp;"''",""),"")</f>
        <v/>
      </c>
      <c r="E169" s="9" t="str">
        <f>IF(ISNUMBER(Output!E168),IF(Output!E168&gt;=12,IFERROR(ROUND(INT(Output!E168)/12,0)&amp;"'-"&amp;INT(ROUND((Output!E168/12-INT(Output!E168/12))*12,2))&amp;" "&amp;IF(MROUND(ROUND((Output!E168/12-INT(Output!E168/12))*12,3)-INT(ROUND((Output!E168/12-INT(Output!E168/12))*12,3)),1/8)=0,"",VLOOKUP(MROUND((Output!E168/12-INT(Output!E168/12))*12-INT((Output!E168/12-INT(Output!E168/12))*12),1/8),fract[],2,FALSE))&amp;"''",""),IFERROR(INT(Output!E168)&amp;" "&amp;IF(MROUND((Output!E168-INT(Output!E168)),1/8)=0,"",VLOOKUP(MROUND((Output!E168-INT(Output!E168)),1/8),fract[],2,FALSE))&amp;"''","")),"")</f>
        <v/>
      </c>
      <c r="F169" s="8"/>
      <c r="G169" s="8"/>
      <c r="H169" s="9" t="str">
        <f t="shared" si="4"/>
        <v/>
      </c>
      <c r="I169" s="9" t="str">
        <f t="shared" si="5"/>
        <v/>
      </c>
      <c r="J169" s="12" t="str">
        <f>IF(ISNUMBER(Output!F168),Output!F168,"")</f>
        <v/>
      </c>
      <c r="K169" s="12" t="str">
        <f>IF(ISNUMBER(Output!G168),Output!G168,"")</f>
        <v/>
      </c>
    </row>
    <row r="170" spans="1:11" ht="18" customHeight="1" x14ac:dyDescent="0.25">
      <c r="A170" s="9" t="str">
        <f>IF(ISBLANK(Output!A169),"",Output!A169)</f>
        <v/>
      </c>
      <c r="B170" s="9" t="str">
        <f>IF(ISBLANK(Output!B169),"",Output!B169)</f>
        <v/>
      </c>
      <c r="C170" s="9" t="str">
        <f>IF(ISNUMBER(Output!C169),IF(Output!C169&gt;=12,IFERROR(ROUND(INT(Output!C169)/12,0)&amp;"'-"&amp;INT(ROUND((Output!C169/12-INT(Output!C169/12))*12,2))&amp;" "&amp;IF(MROUND(ROUND((Output!C169/12-INT(Output!C169/12))*12,3)-INT(ROUND((Output!C169/12-INT(Output!C169/12))*12,3)),1/8)=0,"",VLOOKUP(MROUND((Output!C169/12-INT(Output!C169/12))*12-INT((Output!C169/12-INT(Output!C169/12))*12),1/8),fract[],2,FALSE))&amp;"''",""),IFERROR(INT(Output!C169)&amp;" "&amp;IF(MROUND((Output!C169-INT(Output!C169)),1/8)=0,"",VLOOKUP(MROUND((Output!C169-INT(Output!C169)),1/8),fract[],2,FALSE))&amp;"''","")),"")</f>
        <v/>
      </c>
      <c r="D170" s="9" t="str">
        <f>IF(ISNUMBER(Output!D169),IFERROR(ROUND(INT(Output!D169/12),3)&amp;"'-"&amp;INT(ROUND((Output!D169/12-INT(Output!D169/12))*12,3))&amp;" "&amp;IF(MROUND(ROUND((Output!D169/12-INT(Output!D169/12))*12,3)-INT(ROUND((Output!D169/12-INT(Output!D169/12))*12,3)),1/8)=0,"",VLOOKUP(MROUND((Output!D169/12-INT(Output!D169/12))*12-INT((Output!D169/12-INT(Output!D169/12))*12),1/8),fract[],2,FALSE))&amp;"''",""),"")</f>
        <v/>
      </c>
      <c r="E170" s="9" t="str">
        <f>IF(ISNUMBER(Output!E169),IF(Output!E169&gt;=12,IFERROR(ROUND(INT(Output!E169)/12,0)&amp;"'-"&amp;INT(ROUND((Output!E169/12-INT(Output!E169/12))*12,2))&amp;" "&amp;IF(MROUND(ROUND((Output!E169/12-INT(Output!E169/12))*12,3)-INT(ROUND((Output!E169/12-INT(Output!E169/12))*12,3)),1/8)=0,"",VLOOKUP(MROUND((Output!E169/12-INT(Output!E169/12))*12-INT((Output!E169/12-INT(Output!E169/12))*12),1/8),fract[],2,FALSE))&amp;"''",""),IFERROR(INT(Output!E169)&amp;" "&amp;IF(MROUND((Output!E169-INT(Output!E169)),1/8)=0,"",VLOOKUP(MROUND((Output!E169-INT(Output!E169)),1/8),fract[],2,FALSE))&amp;"''","")),"")</f>
        <v/>
      </c>
      <c r="F170" s="8"/>
      <c r="G170" s="8"/>
      <c r="H170" s="9" t="str">
        <f t="shared" si="4"/>
        <v/>
      </c>
      <c r="I170" s="9" t="str">
        <f t="shared" si="5"/>
        <v/>
      </c>
      <c r="J170" s="12" t="str">
        <f>IF(ISNUMBER(Output!F169),Output!F169,"")</f>
        <v/>
      </c>
      <c r="K170" s="12" t="str">
        <f>IF(ISNUMBER(Output!G169),Output!G169,"")</f>
        <v/>
      </c>
    </row>
    <row r="171" spans="1:11" ht="18" customHeight="1" x14ac:dyDescent="0.25">
      <c r="A171" s="9" t="str">
        <f>IF(ISBLANK(Output!A170),"",Output!A170)</f>
        <v/>
      </c>
      <c r="B171" s="9" t="str">
        <f>IF(ISBLANK(Output!B170),"",Output!B170)</f>
        <v/>
      </c>
      <c r="C171" s="9" t="str">
        <f>IF(ISNUMBER(Output!C170),IF(Output!C170&gt;=12,IFERROR(ROUND(INT(Output!C170)/12,0)&amp;"'-"&amp;INT(ROUND((Output!C170/12-INT(Output!C170/12))*12,2))&amp;" "&amp;IF(MROUND(ROUND((Output!C170/12-INT(Output!C170/12))*12,3)-INT(ROUND((Output!C170/12-INT(Output!C170/12))*12,3)),1/8)=0,"",VLOOKUP(MROUND((Output!C170/12-INT(Output!C170/12))*12-INT((Output!C170/12-INT(Output!C170/12))*12),1/8),fract[],2,FALSE))&amp;"''",""),IFERROR(INT(Output!C170)&amp;" "&amp;IF(MROUND((Output!C170-INT(Output!C170)),1/8)=0,"",VLOOKUP(MROUND((Output!C170-INT(Output!C170)),1/8),fract[],2,FALSE))&amp;"''","")),"")</f>
        <v/>
      </c>
      <c r="D171" s="9" t="str">
        <f>IF(ISNUMBER(Output!D170),IFERROR(ROUND(INT(Output!D170/12),3)&amp;"'-"&amp;INT(ROUND((Output!D170/12-INT(Output!D170/12))*12,3))&amp;" "&amp;IF(MROUND(ROUND((Output!D170/12-INT(Output!D170/12))*12,3)-INT(ROUND((Output!D170/12-INT(Output!D170/12))*12,3)),1/8)=0,"",VLOOKUP(MROUND((Output!D170/12-INT(Output!D170/12))*12-INT((Output!D170/12-INT(Output!D170/12))*12),1/8),fract[],2,FALSE))&amp;"''",""),"")</f>
        <v/>
      </c>
      <c r="E171" s="9" t="str">
        <f>IF(ISNUMBER(Output!E170),IF(Output!E170&gt;=12,IFERROR(ROUND(INT(Output!E170)/12,0)&amp;"'-"&amp;INT(ROUND((Output!E170/12-INT(Output!E170/12))*12,2))&amp;" "&amp;IF(MROUND(ROUND((Output!E170/12-INT(Output!E170/12))*12,3)-INT(ROUND((Output!E170/12-INT(Output!E170/12))*12,3)),1/8)=0,"",VLOOKUP(MROUND((Output!E170/12-INT(Output!E170/12))*12-INT((Output!E170/12-INT(Output!E170/12))*12),1/8),fract[],2,FALSE))&amp;"''",""),IFERROR(INT(Output!E170)&amp;" "&amp;IF(MROUND((Output!E170-INT(Output!E170)),1/8)=0,"",VLOOKUP(MROUND((Output!E170-INT(Output!E170)),1/8),fract[],2,FALSE))&amp;"''","")),"")</f>
        <v/>
      </c>
      <c r="F171" s="8"/>
      <c r="G171" s="8"/>
      <c r="H171" s="9" t="str">
        <f t="shared" si="4"/>
        <v/>
      </c>
      <c r="I171" s="9" t="str">
        <f t="shared" si="5"/>
        <v/>
      </c>
      <c r="J171" s="12" t="str">
        <f>IF(ISNUMBER(Output!F170),Output!F170,"")</f>
        <v/>
      </c>
      <c r="K171" s="12" t="str">
        <f>IF(ISNUMBER(Output!G170),Output!G170,"")</f>
        <v/>
      </c>
    </row>
    <row r="172" spans="1:11" ht="18" customHeight="1" x14ac:dyDescent="0.25">
      <c r="A172" s="9" t="str">
        <f>IF(ISBLANK(Output!A171),"",Output!A171)</f>
        <v/>
      </c>
      <c r="B172" s="9" t="str">
        <f>IF(ISBLANK(Output!B171),"",Output!B171)</f>
        <v/>
      </c>
      <c r="C172" s="9" t="str">
        <f>IF(ISNUMBER(Output!C171),IF(Output!C171&gt;=12,IFERROR(ROUND(INT(Output!C171)/12,0)&amp;"'-"&amp;INT(ROUND((Output!C171/12-INT(Output!C171/12))*12,2))&amp;" "&amp;IF(MROUND(ROUND((Output!C171/12-INT(Output!C171/12))*12,3)-INT(ROUND((Output!C171/12-INT(Output!C171/12))*12,3)),1/8)=0,"",VLOOKUP(MROUND((Output!C171/12-INT(Output!C171/12))*12-INT((Output!C171/12-INT(Output!C171/12))*12),1/8),fract[],2,FALSE))&amp;"''",""),IFERROR(INT(Output!C171)&amp;" "&amp;IF(MROUND((Output!C171-INT(Output!C171)),1/8)=0,"",VLOOKUP(MROUND((Output!C171-INT(Output!C171)),1/8),fract[],2,FALSE))&amp;"''","")),"")</f>
        <v/>
      </c>
      <c r="D172" s="9" t="str">
        <f>IF(ISNUMBER(Output!D171),IFERROR(ROUND(INT(Output!D171/12),3)&amp;"'-"&amp;INT(ROUND((Output!D171/12-INT(Output!D171/12))*12,3))&amp;" "&amp;IF(MROUND(ROUND((Output!D171/12-INT(Output!D171/12))*12,3)-INT(ROUND((Output!D171/12-INT(Output!D171/12))*12,3)),1/8)=0,"",VLOOKUP(MROUND((Output!D171/12-INT(Output!D171/12))*12-INT((Output!D171/12-INT(Output!D171/12))*12),1/8),fract[],2,FALSE))&amp;"''",""),"")</f>
        <v/>
      </c>
      <c r="E172" s="9" t="str">
        <f>IF(ISNUMBER(Output!E171),IF(Output!E171&gt;=12,IFERROR(ROUND(INT(Output!E171)/12,0)&amp;"'-"&amp;INT(ROUND((Output!E171/12-INT(Output!E171/12))*12,2))&amp;" "&amp;IF(MROUND(ROUND((Output!E171/12-INT(Output!E171/12))*12,3)-INT(ROUND((Output!E171/12-INT(Output!E171/12))*12,3)),1/8)=0,"",VLOOKUP(MROUND((Output!E171/12-INT(Output!E171/12))*12-INT((Output!E171/12-INT(Output!E171/12))*12),1/8),fract[],2,FALSE))&amp;"''",""),IFERROR(INT(Output!E171)&amp;" "&amp;IF(MROUND((Output!E171-INT(Output!E171)),1/8)=0,"",VLOOKUP(MROUND((Output!E171-INT(Output!E171)),1/8),fract[],2,FALSE))&amp;"''","")),"")</f>
        <v/>
      </c>
      <c r="F172" s="8"/>
      <c r="G172" s="8"/>
      <c r="H172" s="9" t="str">
        <f t="shared" si="4"/>
        <v/>
      </c>
      <c r="I172" s="9" t="str">
        <f t="shared" si="5"/>
        <v/>
      </c>
      <c r="J172" s="12" t="str">
        <f>IF(ISNUMBER(Output!F171),Output!F171,"")</f>
        <v/>
      </c>
      <c r="K172" s="12" t="str">
        <f>IF(ISNUMBER(Output!G171),Output!G171,"")</f>
        <v/>
      </c>
    </row>
    <row r="173" spans="1:11" ht="18" customHeight="1" x14ac:dyDescent="0.25">
      <c r="A173" s="9" t="str">
        <f>IF(ISBLANK(Output!A172),"",Output!A172)</f>
        <v/>
      </c>
      <c r="B173" s="9" t="str">
        <f>IF(ISBLANK(Output!B172),"",Output!B172)</f>
        <v/>
      </c>
      <c r="C173" s="9" t="str">
        <f>IF(ISNUMBER(Output!C172),IF(Output!C172&gt;=12,IFERROR(ROUND(INT(Output!C172)/12,0)&amp;"'-"&amp;INT(ROUND((Output!C172/12-INT(Output!C172/12))*12,2))&amp;" "&amp;IF(MROUND(ROUND((Output!C172/12-INT(Output!C172/12))*12,3)-INT(ROUND((Output!C172/12-INT(Output!C172/12))*12,3)),1/8)=0,"",VLOOKUP(MROUND((Output!C172/12-INT(Output!C172/12))*12-INT((Output!C172/12-INT(Output!C172/12))*12),1/8),fract[],2,FALSE))&amp;"''",""),IFERROR(INT(Output!C172)&amp;" "&amp;IF(MROUND((Output!C172-INT(Output!C172)),1/8)=0,"",VLOOKUP(MROUND((Output!C172-INT(Output!C172)),1/8),fract[],2,FALSE))&amp;"''","")),"")</f>
        <v/>
      </c>
      <c r="D173" s="9" t="str">
        <f>IF(ISNUMBER(Output!D172),IFERROR(ROUND(INT(Output!D172/12),3)&amp;"'-"&amp;INT(ROUND((Output!D172/12-INT(Output!D172/12))*12,3))&amp;" "&amp;IF(MROUND(ROUND((Output!D172/12-INT(Output!D172/12))*12,3)-INT(ROUND((Output!D172/12-INT(Output!D172/12))*12,3)),1/8)=0,"",VLOOKUP(MROUND((Output!D172/12-INT(Output!D172/12))*12-INT((Output!D172/12-INT(Output!D172/12))*12),1/8),fract[],2,FALSE))&amp;"''",""),"")</f>
        <v/>
      </c>
      <c r="E173" s="9" t="str">
        <f>IF(ISNUMBER(Output!E172),IF(Output!E172&gt;=12,IFERROR(ROUND(INT(Output!E172)/12,0)&amp;"'-"&amp;INT(ROUND((Output!E172/12-INT(Output!E172/12))*12,2))&amp;" "&amp;IF(MROUND(ROUND((Output!E172/12-INT(Output!E172/12))*12,3)-INT(ROUND((Output!E172/12-INT(Output!E172/12))*12,3)),1/8)=0,"",VLOOKUP(MROUND((Output!E172/12-INT(Output!E172/12))*12-INT((Output!E172/12-INT(Output!E172/12))*12),1/8),fract[],2,FALSE))&amp;"''",""),IFERROR(INT(Output!E172)&amp;" "&amp;IF(MROUND((Output!E172-INT(Output!E172)),1/8)=0,"",VLOOKUP(MROUND((Output!E172-INT(Output!E172)),1/8),fract[],2,FALSE))&amp;"''","")),"")</f>
        <v/>
      </c>
      <c r="F173" s="8"/>
      <c r="G173" s="8"/>
      <c r="H173" s="9" t="str">
        <f t="shared" si="4"/>
        <v/>
      </c>
      <c r="I173" s="9" t="str">
        <f t="shared" si="5"/>
        <v/>
      </c>
      <c r="J173" s="12" t="str">
        <f>IF(ISNUMBER(Output!F172),Output!F172,"")</f>
        <v/>
      </c>
      <c r="K173" s="12" t="str">
        <f>IF(ISNUMBER(Output!G172),Output!G172,"")</f>
        <v/>
      </c>
    </row>
    <row r="174" spans="1:11" ht="18" customHeight="1" x14ac:dyDescent="0.25">
      <c r="A174" s="9" t="str">
        <f>IF(ISBLANK(Output!A173),"",Output!A173)</f>
        <v/>
      </c>
      <c r="B174" s="9" t="str">
        <f>IF(ISBLANK(Output!B173),"",Output!B173)</f>
        <v/>
      </c>
      <c r="C174" s="9" t="str">
        <f>IF(ISNUMBER(Output!C173),IF(Output!C173&gt;=12,IFERROR(ROUND(INT(Output!C173)/12,0)&amp;"'-"&amp;INT(ROUND((Output!C173/12-INT(Output!C173/12))*12,2))&amp;" "&amp;IF(MROUND(ROUND((Output!C173/12-INT(Output!C173/12))*12,3)-INT(ROUND((Output!C173/12-INT(Output!C173/12))*12,3)),1/8)=0,"",VLOOKUP(MROUND((Output!C173/12-INT(Output!C173/12))*12-INT((Output!C173/12-INT(Output!C173/12))*12),1/8),fract[],2,FALSE))&amp;"''",""),IFERROR(INT(Output!C173)&amp;" "&amp;IF(MROUND((Output!C173-INT(Output!C173)),1/8)=0,"",VLOOKUP(MROUND((Output!C173-INT(Output!C173)),1/8),fract[],2,FALSE))&amp;"''","")),"")</f>
        <v/>
      </c>
      <c r="D174" s="9" t="str">
        <f>IF(ISNUMBER(Output!D173),IFERROR(ROUND(INT(Output!D173/12),3)&amp;"'-"&amp;INT(ROUND((Output!D173/12-INT(Output!D173/12))*12,3))&amp;" "&amp;IF(MROUND(ROUND((Output!D173/12-INT(Output!D173/12))*12,3)-INT(ROUND((Output!D173/12-INT(Output!D173/12))*12,3)),1/8)=0,"",VLOOKUP(MROUND((Output!D173/12-INT(Output!D173/12))*12-INT((Output!D173/12-INT(Output!D173/12))*12),1/8),fract[],2,FALSE))&amp;"''",""),"")</f>
        <v/>
      </c>
      <c r="E174" s="9" t="str">
        <f>IF(ISNUMBER(Output!E173),IF(Output!E173&gt;=12,IFERROR(ROUND(INT(Output!E173)/12,0)&amp;"'-"&amp;INT(ROUND((Output!E173/12-INT(Output!E173/12))*12,2))&amp;" "&amp;IF(MROUND(ROUND((Output!E173/12-INT(Output!E173/12))*12,3)-INT(ROUND((Output!E173/12-INT(Output!E173/12))*12,3)),1/8)=0,"",VLOOKUP(MROUND((Output!E173/12-INT(Output!E173/12))*12-INT((Output!E173/12-INT(Output!E173/12))*12),1/8),fract[],2,FALSE))&amp;"''",""),IFERROR(INT(Output!E173)&amp;" "&amp;IF(MROUND((Output!E173-INT(Output!E173)),1/8)=0,"",VLOOKUP(MROUND((Output!E173-INT(Output!E173)),1/8),fract[],2,FALSE))&amp;"''","")),"")</f>
        <v/>
      </c>
      <c r="F174" s="8"/>
      <c r="G174" s="8"/>
      <c r="H174" s="9" t="str">
        <f t="shared" si="4"/>
        <v/>
      </c>
      <c r="I174" s="9" t="str">
        <f t="shared" si="5"/>
        <v/>
      </c>
      <c r="J174" s="12" t="str">
        <f>IF(ISNUMBER(Output!F173),Output!F173,"")</f>
        <v/>
      </c>
      <c r="K174" s="12" t="str">
        <f>IF(ISNUMBER(Output!G173),Output!G173,"")</f>
        <v/>
      </c>
    </row>
    <row r="175" spans="1:11" ht="18" customHeight="1" x14ac:dyDescent="0.25">
      <c r="A175" s="9" t="str">
        <f>IF(ISBLANK(Output!A174),"",Output!A174)</f>
        <v/>
      </c>
      <c r="B175" s="9" t="str">
        <f>IF(ISBLANK(Output!B174),"",Output!B174)</f>
        <v/>
      </c>
      <c r="C175" s="9" t="str">
        <f>IF(ISNUMBER(Output!C174),IF(Output!C174&gt;=12,IFERROR(ROUND(INT(Output!C174)/12,0)&amp;"'-"&amp;INT(ROUND((Output!C174/12-INT(Output!C174/12))*12,2))&amp;" "&amp;IF(MROUND(ROUND((Output!C174/12-INT(Output!C174/12))*12,3)-INT(ROUND((Output!C174/12-INT(Output!C174/12))*12,3)),1/8)=0,"",VLOOKUP(MROUND((Output!C174/12-INT(Output!C174/12))*12-INT((Output!C174/12-INT(Output!C174/12))*12),1/8),fract[],2,FALSE))&amp;"''",""),IFERROR(INT(Output!C174)&amp;" "&amp;IF(MROUND((Output!C174-INT(Output!C174)),1/8)=0,"",VLOOKUP(MROUND((Output!C174-INT(Output!C174)),1/8),fract[],2,FALSE))&amp;"''","")),"")</f>
        <v/>
      </c>
      <c r="D175" s="9" t="str">
        <f>IF(ISNUMBER(Output!D174),IFERROR(ROUND(INT(Output!D174/12),3)&amp;"'-"&amp;INT(ROUND((Output!D174/12-INT(Output!D174/12))*12,3))&amp;" "&amp;IF(MROUND(ROUND((Output!D174/12-INT(Output!D174/12))*12,3)-INT(ROUND((Output!D174/12-INT(Output!D174/12))*12,3)),1/8)=0,"",VLOOKUP(MROUND((Output!D174/12-INT(Output!D174/12))*12-INT((Output!D174/12-INT(Output!D174/12))*12),1/8),fract[],2,FALSE))&amp;"''",""),"")</f>
        <v/>
      </c>
      <c r="E175" s="9" t="str">
        <f>IF(ISNUMBER(Output!E174),IF(Output!E174&gt;=12,IFERROR(ROUND(INT(Output!E174)/12,0)&amp;"'-"&amp;INT(ROUND((Output!E174/12-INT(Output!E174/12))*12,2))&amp;" "&amp;IF(MROUND(ROUND((Output!E174/12-INT(Output!E174/12))*12,3)-INT(ROUND((Output!E174/12-INT(Output!E174/12))*12,3)),1/8)=0,"",VLOOKUP(MROUND((Output!E174/12-INT(Output!E174/12))*12-INT((Output!E174/12-INT(Output!E174/12))*12),1/8),fract[],2,FALSE))&amp;"''",""),IFERROR(INT(Output!E174)&amp;" "&amp;IF(MROUND((Output!E174-INT(Output!E174)),1/8)=0,"",VLOOKUP(MROUND((Output!E174-INT(Output!E174)),1/8),fract[],2,FALSE))&amp;"''","")),"")</f>
        <v/>
      </c>
      <c r="F175" s="8"/>
      <c r="G175" s="8"/>
      <c r="H175" s="9" t="str">
        <f t="shared" si="4"/>
        <v/>
      </c>
      <c r="I175" s="9" t="str">
        <f t="shared" si="5"/>
        <v/>
      </c>
      <c r="J175" s="12" t="str">
        <f>IF(ISNUMBER(Output!F174),Output!F174,"")</f>
        <v/>
      </c>
      <c r="K175" s="12" t="str">
        <f>IF(ISNUMBER(Output!G174),Output!G174,"")</f>
        <v/>
      </c>
    </row>
    <row r="176" spans="1:11" ht="18" customHeight="1" x14ac:dyDescent="0.25">
      <c r="A176" s="9" t="str">
        <f>IF(ISBLANK(Output!A175),"",Output!A175)</f>
        <v/>
      </c>
      <c r="B176" s="9" t="str">
        <f>IF(ISBLANK(Output!B175),"",Output!B175)</f>
        <v/>
      </c>
      <c r="C176" s="9" t="str">
        <f>IF(ISNUMBER(Output!C175),IF(Output!C175&gt;=12,IFERROR(ROUND(INT(Output!C175)/12,0)&amp;"'-"&amp;INT(ROUND((Output!C175/12-INT(Output!C175/12))*12,2))&amp;" "&amp;IF(MROUND(ROUND((Output!C175/12-INT(Output!C175/12))*12,3)-INT(ROUND((Output!C175/12-INT(Output!C175/12))*12,3)),1/8)=0,"",VLOOKUP(MROUND((Output!C175/12-INT(Output!C175/12))*12-INT((Output!C175/12-INT(Output!C175/12))*12),1/8),fract[],2,FALSE))&amp;"''",""),IFERROR(INT(Output!C175)&amp;" "&amp;IF(MROUND((Output!C175-INT(Output!C175)),1/8)=0,"",VLOOKUP(MROUND((Output!C175-INT(Output!C175)),1/8),fract[],2,FALSE))&amp;"''","")),"")</f>
        <v/>
      </c>
      <c r="D176" s="9" t="str">
        <f>IF(ISNUMBER(Output!D175),IFERROR(ROUND(INT(Output!D175/12),3)&amp;"'-"&amp;INT(ROUND((Output!D175/12-INT(Output!D175/12))*12,3))&amp;" "&amp;IF(MROUND(ROUND((Output!D175/12-INT(Output!D175/12))*12,3)-INT(ROUND((Output!D175/12-INT(Output!D175/12))*12,3)),1/8)=0,"",VLOOKUP(MROUND((Output!D175/12-INT(Output!D175/12))*12-INT((Output!D175/12-INT(Output!D175/12))*12),1/8),fract[],2,FALSE))&amp;"''",""),"")</f>
        <v/>
      </c>
      <c r="E176" s="9" t="str">
        <f>IF(ISNUMBER(Output!E175),IF(Output!E175&gt;=12,IFERROR(ROUND(INT(Output!E175)/12,0)&amp;"'-"&amp;INT(ROUND((Output!E175/12-INT(Output!E175/12))*12,2))&amp;" "&amp;IF(MROUND(ROUND((Output!E175/12-INT(Output!E175/12))*12,3)-INT(ROUND((Output!E175/12-INT(Output!E175/12))*12,3)),1/8)=0,"",VLOOKUP(MROUND((Output!E175/12-INT(Output!E175/12))*12-INT((Output!E175/12-INT(Output!E175/12))*12),1/8),fract[],2,FALSE))&amp;"''",""),IFERROR(INT(Output!E175)&amp;" "&amp;IF(MROUND((Output!E175-INT(Output!E175)),1/8)=0,"",VLOOKUP(MROUND((Output!E175-INT(Output!E175)),1/8),fract[],2,FALSE))&amp;"''","")),"")</f>
        <v/>
      </c>
      <c r="F176" s="8"/>
      <c r="G176" s="8"/>
      <c r="H176" s="9" t="str">
        <f t="shared" si="4"/>
        <v/>
      </c>
      <c r="I176" s="9" t="str">
        <f t="shared" si="5"/>
        <v/>
      </c>
      <c r="J176" s="12" t="str">
        <f>IF(ISNUMBER(Output!F175),Output!F175,"")</f>
        <v/>
      </c>
      <c r="K176" s="12" t="str">
        <f>IF(ISNUMBER(Output!G175),Output!G175,"")</f>
        <v/>
      </c>
    </row>
    <row r="177" spans="1:11" ht="18" customHeight="1" x14ac:dyDescent="0.25">
      <c r="A177" s="9" t="str">
        <f>IF(ISBLANK(Output!A176),"",Output!A176)</f>
        <v/>
      </c>
      <c r="B177" s="9" t="str">
        <f>IF(ISBLANK(Output!B176),"",Output!B176)</f>
        <v/>
      </c>
      <c r="C177" s="9" t="str">
        <f>IF(ISNUMBER(Output!C176),IF(Output!C176&gt;=12,IFERROR(ROUND(INT(Output!C176)/12,0)&amp;"'-"&amp;INT(ROUND((Output!C176/12-INT(Output!C176/12))*12,2))&amp;" "&amp;IF(MROUND(ROUND((Output!C176/12-INT(Output!C176/12))*12,3)-INT(ROUND((Output!C176/12-INT(Output!C176/12))*12,3)),1/8)=0,"",VLOOKUP(MROUND((Output!C176/12-INT(Output!C176/12))*12-INT((Output!C176/12-INT(Output!C176/12))*12),1/8),fract[],2,FALSE))&amp;"''",""),IFERROR(INT(Output!C176)&amp;" "&amp;IF(MROUND((Output!C176-INT(Output!C176)),1/8)=0,"",VLOOKUP(MROUND((Output!C176-INT(Output!C176)),1/8),fract[],2,FALSE))&amp;"''","")),"")</f>
        <v/>
      </c>
      <c r="D177" s="9" t="str">
        <f>IF(ISNUMBER(Output!D176),IFERROR(ROUND(INT(Output!D176/12),3)&amp;"'-"&amp;INT(ROUND((Output!D176/12-INT(Output!D176/12))*12,3))&amp;" "&amp;IF(MROUND(ROUND((Output!D176/12-INT(Output!D176/12))*12,3)-INT(ROUND((Output!D176/12-INT(Output!D176/12))*12,3)),1/8)=0,"",VLOOKUP(MROUND((Output!D176/12-INT(Output!D176/12))*12-INT((Output!D176/12-INT(Output!D176/12))*12),1/8),fract[],2,FALSE))&amp;"''",""),"")</f>
        <v/>
      </c>
      <c r="E177" s="9" t="str">
        <f>IF(ISNUMBER(Output!E176),IF(Output!E176&gt;=12,IFERROR(ROUND(INT(Output!E176)/12,0)&amp;"'-"&amp;INT(ROUND((Output!E176/12-INT(Output!E176/12))*12,2))&amp;" "&amp;IF(MROUND(ROUND((Output!E176/12-INT(Output!E176/12))*12,3)-INT(ROUND((Output!E176/12-INT(Output!E176/12))*12,3)),1/8)=0,"",VLOOKUP(MROUND((Output!E176/12-INT(Output!E176/12))*12-INT((Output!E176/12-INT(Output!E176/12))*12),1/8),fract[],2,FALSE))&amp;"''",""),IFERROR(INT(Output!E176)&amp;" "&amp;IF(MROUND((Output!E176-INT(Output!E176)),1/8)=0,"",VLOOKUP(MROUND((Output!E176-INT(Output!E176)),1/8),fract[],2,FALSE))&amp;"''","")),"")</f>
        <v/>
      </c>
      <c r="F177" s="8"/>
      <c r="G177" s="8"/>
      <c r="H177" s="9" t="str">
        <f t="shared" si="4"/>
        <v/>
      </c>
      <c r="I177" s="9" t="str">
        <f t="shared" si="5"/>
        <v/>
      </c>
      <c r="J177" s="12" t="str">
        <f>IF(ISNUMBER(Output!F176),Output!F176,"")</f>
        <v/>
      </c>
      <c r="K177" s="12" t="str">
        <f>IF(ISNUMBER(Output!G176),Output!G176,"")</f>
        <v/>
      </c>
    </row>
    <row r="178" spans="1:11" ht="18" customHeight="1" x14ac:dyDescent="0.25">
      <c r="A178" s="9" t="str">
        <f>IF(ISBLANK(Output!A177),"",Output!A177)</f>
        <v/>
      </c>
      <c r="B178" s="9" t="str">
        <f>IF(ISBLANK(Output!B177),"",Output!B177)</f>
        <v/>
      </c>
      <c r="C178" s="9" t="str">
        <f>IF(ISNUMBER(Output!C177),IF(Output!C177&gt;=12,IFERROR(ROUND(INT(Output!C177)/12,0)&amp;"'-"&amp;INT(ROUND((Output!C177/12-INT(Output!C177/12))*12,2))&amp;" "&amp;IF(MROUND(ROUND((Output!C177/12-INT(Output!C177/12))*12,3)-INT(ROUND((Output!C177/12-INT(Output!C177/12))*12,3)),1/8)=0,"",VLOOKUP(MROUND((Output!C177/12-INT(Output!C177/12))*12-INT((Output!C177/12-INT(Output!C177/12))*12),1/8),fract[],2,FALSE))&amp;"''",""),IFERROR(INT(Output!C177)&amp;" "&amp;IF(MROUND((Output!C177-INT(Output!C177)),1/8)=0,"",VLOOKUP(MROUND((Output!C177-INT(Output!C177)),1/8),fract[],2,FALSE))&amp;"''","")),"")</f>
        <v/>
      </c>
      <c r="D178" s="9" t="str">
        <f>IF(ISNUMBER(Output!D177),IFERROR(ROUND(INT(Output!D177/12),3)&amp;"'-"&amp;INT(ROUND((Output!D177/12-INT(Output!D177/12))*12,3))&amp;" "&amp;IF(MROUND(ROUND((Output!D177/12-INT(Output!D177/12))*12,3)-INT(ROUND((Output!D177/12-INT(Output!D177/12))*12,3)),1/8)=0,"",VLOOKUP(MROUND((Output!D177/12-INT(Output!D177/12))*12-INT((Output!D177/12-INT(Output!D177/12))*12),1/8),fract[],2,FALSE))&amp;"''",""),"")</f>
        <v/>
      </c>
      <c r="E178" s="9" t="str">
        <f>IF(ISNUMBER(Output!E177),IF(Output!E177&gt;=12,IFERROR(ROUND(INT(Output!E177)/12,0)&amp;"'-"&amp;INT(ROUND((Output!E177/12-INT(Output!E177/12))*12,2))&amp;" "&amp;IF(MROUND(ROUND((Output!E177/12-INT(Output!E177/12))*12,3)-INT(ROUND((Output!E177/12-INT(Output!E177/12))*12,3)),1/8)=0,"",VLOOKUP(MROUND((Output!E177/12-INT(Output!E177/12))*12-INT((Output!E177/12-INT(Output!E177/12))*12),1/8),fract[],2,FALSE))&amp;"''",""),IFERROR(INT(Output!E177)&amp;" "&amp;IF(MROUND((Output!E177-INT(Output!E177)),1/8)=0,"",VLOOKUP(MROUND((Output!E177-INT(Output!E177)),1/8),fract[],2,FALSE))&amp;"''","")),"")</f>
        <v/>
      </c>
      <c r="F178" s="8"/>
      <c r="G178" s="8"/>
      <c r="H178" s="9" t="str">
        <f t="shared" si="4"/>
        <v/>
      </c>
      <c r="I178" s="9" t="str">
        <f t="shared" si="5"/>
        <v/>
      </c>
      <c r="J178" s="12" t="str">
        <f>IF(ISNUMBER(Output!F177),Output!F177,"")</f>
        <v/>
      </c>
      <c r="K178" s="12" t="str">
        <f>IF(ISNUMBER(Output!G177),Output!G177,"")</f>
        <v/>
      </c>
    </row>
    <row r="179" spans="1:11" x14ac:dyDescent="0.25">
      <c r="A179" s="9" t="str">
        <f>IF(ISBLANK(Output!A178),"",Output!A178)</f>
        <v/>
      </c>
      <c r="B179" s="9" t="str">
        <f>IF(ISBLANK(Output!B178),"",Output!B178)</f>
        <v/>
      </c>
      <c r="C179" s="9" t="str">
        <f>IF(ISNUMBER(Output!C178),IF(Output!C178&gt;=12,IFERROR(ROUND(INT(Output!C178)/12,0)&amp;"'-"&amp;INT(ROUND((Output!C178/12-INT(Output!C178/12))*12,2))&amp;" "&amp;IF(MROUND(ROUND((Output!C178/12-INT(Output!C178/12))*12,3)-INT(ROUND((Output!C178/12-INT(Output!C178/12))*12,3)),1/8)=0,"",VLOOKUP(MROUND((Output!C178/12-INT(Output!C178/12))*12-INT((Output!C178/12-INT(Output!C178/12))*12),1/8),fract[],2,FALSE))&amp;"''",""),IFERROR(INT(Output!C178)&amp;" "&amp;IF(MROUND((Output!C178-INT(Output!C178)),1/8)=0,"",VLOOKUP(MROUND((Output!C178-INT(Output!C178)),1/8),fract[],2,FALSE))&amp;"''","")),"")</f>
        <v/>
      </c>
      <c r="D179" s="9" t="str">
        <f>IF(ISNUMBER(Output!D178),IFERROR(ROUND(INT(Output!D178/12),3)&amp;"'-"&amp;INT(ROUND((Output!D178/12-INT(Output!D178/12))*12,3))&amp;" "&amp;IF(MROUND(ROUND((Output!D178/12-INT(Output!D178/12))*12,3)-INT(ROUND((Output!D178/12-INT(Output!D178/12))*12,3)),1/8)=0,"",VLOOKUP(MROUND((Output!D178/12-INT(Output!D178/12))*12-INT((Output!D178/12-INT(Output!D178/12))*12),1/8),fract[],2,FALSE))&amp;"''",""),"")</f>
        <v/>
      </c>
      <c r="E179" s="9" t="str">
        <f>IF(ISNUMBER(Output!E178),IF(Output!E178&gt;=12,IFERROR(ROUND(INT(Output!E178)/12,0)&amp;"'-"&amp;INT(ROUND((Output!E178/12-INT(Output!E178/12))*12,2))&amp;" "&amp;IF(MROUND(ROUND((Output!E178/12-INT(Output!E178/12))*12,3)-INT(ROUND((Output!E178/12-INT(Output!E178/12))*12,3)),1/8)=0,"",VLOOKUP(MROUND((Output!E178/12-INT(Output!E178/12))*12-INT((Output!E178/12-INT(Output!E178/12))*12),1/8),fract[],2,FALSE))&amp;"''",""),IFERROR(INT(Output!E178)&amp;" "&amp;IF(MROUND((Output!E178-INT(Output!E178)),1/8)=0,"",VLOOKUP(MROUND((Output!E178-INT(Output!E178)),1/8),fract[],2,FALSE))&amp;"''","")),"")</f>
        <v/>
      </c>
      <c r="F179" s="8"/>
      <c r="G179" s="8"/>
      <c r="H179" s="9" t="str">
        <f t="shared" si="4"/>
        <v/>
      </c>
      <c r="I179" s="9" t="str">
        <f t="shared" si="5"/>
        <v/>
      </c>
      <c r="J179" s="12" t="str">
        <f>IF(ISNUMBER(Output!F178),Output!F178,"")</f>
        <v/>
      </c>
      <c r="K179" s="12" t="str">
        <f>IF(ISNUMBER(Output!G178),Output!G178,"")</f>
        <v/>
      </c>
    </row>
    <row r="180" spans="1:11" x14ac:dyDescent="0.25">
      <c r="A180" s="9" t="str">
        <f>IF(ISBLANK(Output!A179),"",Output!A179)</f>
        <v/>
      </c>
      <c r="B180" s="9" t="str">
        <f>IF(ISBLANK(Output!B179),"",Output!B179)</f>
        <v/>
      </c>
      <c r="C180" s="9" t="str">
        <f>IF(ISNUMBER(Output!C179),IF(Output!C179&gt;=12,IFERROR(ROUND(INT(Output!C179)/12,0)&amp;"'-"&amp;INT(ROUND((Output!C179/12-INT(Output!C179/12))*12,2))&amp;" "&amp;IF(MROUND(ROUND((Output!C179/12-INT(Output!C179/12))*12,3)-INT(ROUND((Output!C179/12-INT(Output!C179/12))*12,3)),1/8)=0,"",VLOOKUP(MROUND((Output!C179/12-INT(Output!C179/12))*12-INT((Output!C179/12-INT(Output!C179/12))*12),1/8),fract[],2,FALSE))&amp;"''",""),IFERROR(INT(Output!C179)&amp;" "&amp;IF(MROUND((Output!C179-INT(Output!C179)),1/8)=0,"",VLOOKUP(MROUND((Output!C179-INT(Output!C179)),1/8),fract[],2,FALSE))&amp;"''","")),"")</f>
        <v/>
      </c>
      <c r="D180" s="9" t="str">
        <f>IF(ISNUMBER(Output!D179),IFERROR(ROUND(INT(Output!D179/12),3)&amp;"'-"&amp;INT(ROUND((Output!D179/12-INT(Output!D179/12))*12,3))&amp;" "&amp;IF(MROUND(ROUND((Output!D179/12-INT(Output!D179/12))*12,3)-INT(ROUND((Output!D179/12-INT(Output!D179/12))*12,3)),1/8)=0,"",VLOOKUP(MROUND((Output!D179/12-INT(Output!D179/12))*12-INT((Output!D179/12-INT(Output!D179/12))*12),1/8),fract[],2,FALSE))&amp;"''",""),"")</f>
        <v/>
      </c>
      <c r="E180" s="9" t="str">
        <f>IF(ISNUMBER(Output!E179),IF(Output!E179&gt;=12,IFERROR(ROUND(INT(Output!E179)/12,0)&amp;"'-"&amp;INT(ROUND((Output!E179/12-INT(Output!E179/12))*12,2))&amp;" "&amp;IF(MROUND(ROUND((Output!E179/12-INT(Output!E179/12))*12,3)-INT(ROUND((Output!E179/12-INT(Output!E179/12))*12,3)),1/8)=0,"",VLOOKUP(MROUND((Output!E179/12-INT(Output!E179/12))*12-INT((Output!E179/12-INT(Output!E179/12))*12),1/8),fract[],2,FALSE))&amp;"''",""),IFERROR(INT(Output!E179)&amp;" "&amp;IF(MROUND((Output!E179-INT(Output!E179)),1/8)=0,"",VLOOKUP(MROUND((Output!E179-INT(Output!E179)),1/8),fract[],2,FALSE))&amp;"''","")),"")</f>
        <v/>
      </c>
      <c r="F180" s="8"/>
      <c r="G180" s="8"/>
      <c r="H180" s="9" t="str">
        <f t="shared" si="4"/>
        <v/>
      </c>
      <c r="I180" s="9" t="str">
        <f t="shared" si="5"/>
        <v/>
      </c>
      <c r="J180" s="12" t="str">
        <f>IF(ISNUMBER(Output!F179),Output!F179,"")</f>
        <v/>
      </c>
      <c r="K180" s="12" t="str">
        <f>IF(ISNUMBER(Output!G179),Output!G179,"")</f>
        <v/>
      </c>
    </row>
    <row r="181" spans="1:11" x14ac:dyDescent="0.25">
      <c r="A181" s="9" t="str">
        <f>IF(ISBLANK(Output!A180),"",Output!A180)</f>
        <v/>
      </c>
      <c r="B181" s="9" t="str">
        <f>IF(ISBLANK(Output!B180),"",Output!B180)</f>
        <v/>
      </c>
      <c r="C181" s="9" t="str">
        <f>IF(ISNUMBER(Output!C180),IF(Output!C180&gt;=12,IFERROR(ROUND(INT(Output!C180)/12,0)&amp;"'-"&amp;INT(ROUND((Output!C180/12-INT(Output!C180/12))*12,2))&amp;" "&amp;IF(MROUND(ROUND((Output!C180/12-INT(Output!C180/12))*12,3)-INT(ROUND((Output!C180/12-INT(Output!C180/12))*12,3)),1/8)=0,"",VLOOKUP(MROUND((Output!C180/12-INT(Output!C180/12))*12-INT((Output!C180/12-INT(Output!C180/12))*12),1/8),fract[],2,FALSE))&amp;"''",""),IFERROR(INT(Output!C180)&amp;" "&amp;IF(MROUND((Output!C180-INT(Output!C180)),1/8)=0,"",VLOOKUP(MROUND((Output!C180-INT(Output!C180)),1/8),fract[],2,FALSE))&amp;"''","")),"")</f>
        <v/>
      </c>
      <c r="D181" s="9" t="str">
        <f>IF(ISNUMBER(Output!D180),IFERROR(ROUND(INT(Output!D180/12),3)&amp;"'-"&amp;INT(ROUND((Output!D180/12-INT(Output!D180/12))*12,3))&amp;" "&amp;IF(MROUND(ROUND((Output!D180/12-INT(Output!D180/12))*12,3)-INT(ROUND((Output!D180/12-INT(Output!D180/12))*12,3)),1/8)=0,"",VLOOKUP(MROUND((Output!D180/12-INT(Output!D180/12))*12-INT((Output!D180/12-INT(Output!D180/12))*12),1/8),fract[],2,FALSE))&amp;"''",""),"")</f>
        <v/>
      </c>
      <c r="E181" s="9" t="str">
        <f>IF(ISNUMBER(Output!E180),IF(Output!E180&gt;=12,IFERROR(ROUND(INT(Output!E180)/12,0)&amp;"'-"&amp;INT(ROUND((Output!E180/12-INT(Output!E180/12))*12,2))&amp;" "&amp;IF(MROUND(ROUND((Output!E180/12-INT(Output!E180/12))*12,3)-INT(ROUND((Output!E180/12-INT(Output!E180/12))*12,3)),1/8)=0,"",VLOOKUP(MROUND((Output!E180/12-INT(Output!E180/12))*12-INT((Output!E180/12-INT(Output!E180/12))*12),1/8),fract[],2,FALSE))&amp;"''",""),IFERROR(INT(Output!E180)&amp;" "&amp;IF(MROUND((Output!E180-INT(Output!E180)),1/8)=0,"",VLOOKUP(MROUND((Output!E180-INT(Output!E180)),1/8),fract[],2,FALSE))&amp;"''","")),"")</f>
        <v/>
      </c>
      <c r="F181" s="8"/>
      <c r="G181" s="8"/>
      <c r="H181" s="9" t="str">
        <f t="shared" si="4"/>
        <v/>
      </c>
      <c r="I181" s="9" t="str">
        <f t="shared" si="5"/>
        <v/>
      </c>
      <c r="J181" s="12" t="str">
        <f>IF(ISNUMBER(Output!F180),Output!F180,"")</f>
        <v/>
      </c>
      <c r="K181" s="12" t="str">
        <f>IF(ISNUMBER(Output!G180),Output!G180,"")</f>
        <v/>
      </c>
    </row>
    <row r="182" spans="1:11" x14ac:dyDescent="0.25">
      <c r="A182" s="9" t="str">
        <f>IF(ISBLANK(Output!A181),"",Output!A181)</f>
        <v/>
      </c>
      <c r="B182" s="9" t="str">
        <f>IF(ISBLANK(Output!B181),"",Output!B181)</f>
        <v/>
      </c>
      <c r="C182" s="9" t="str">
        <f>IF(ISNUMBER(Output!C181),IF(Output!C181&gt;=12,IFERROR(ROUND(INT(Output!C181)/12,0)&amp;"'-"&amp;INT(ROUND((Output!C181/12-INT(Output!C181/12))*12,2))&amp;" "&amp;IF(MROUND(ROUND((Output!C181/12-INT(Output!C181/12))*12,3)-INT(ROUND((Output!C181/12-INT(Output!C181/12))*12,3)),1/8)=0,"",VLOOKUP(MROUND((Output!C181/12-INT(Output!C181/12))*12-INT((Output!C181/12-INT(Output!C181/12))*12),1/8),fract[],2,FALSE))&amp;"''",""),IFERROR(INT(Output!C181)&amp;" "&amp;IF(MROUND((Output!C181-INT(Output!C181)),1/8)=0,"",VLOOKUP(MROUND((Output!C181-INT(Output!C181)),1/8),fract[],2,FALSE))&amp;"''","")),"")</f>
        <v/>
      </c>
      <c r="D182" s="9" t="str">
        <f>IF(ISNUMBER(Output!D181),IFERROR(ROUND(INT(Output!D181/12),3)&amp;"'-"&amp;INT(ROUND((Output!D181/12-INT(Output!D181/12))*12,3))&amp;" "&amp;IF(MROUND(ROUND((Output!D181/12-INT(Output!D181/12))*12,3)-INT(ROUND((Output!D181/12-INT(Output!D181/12))*12,3)),1/8)=0,"",VLOOKUP(MROUND((Output!D181/12-INT(Output!D181/12))*12-INT((Output!D181/12-INT(Output!D181/12))*12),1/8),fract[],2,FALSE))&amp;"''",""),"")</f>
        <v/>
      </c>
      <c r="E182" s="9" t="str">
        <f>IF(ISNUMBER(Output!E181),IF(Output!E181&gt;=12,IFERROR(ROUND(INT(Output!E181)/12,0)&amp;"'-"&amp;INT(ROUND((Output!E181/12-INT(Output!E181/12))*12,2))&amp;" "&amp;IF(MROUND(ROUND((Output!E181/12-INT(Output!E181/12))*12,3)-INT(ROUND((Output!E181/12-INT(Output!E181/12))*12,3)),1/8)=0,"",VLOOKUP(MROUND((Output!E181/12-INT(Output!E181/12))*12-INT((Output!E181/12-INT(Output!E181/12))*12),1/8),fract[],2,FALSE))&amp;"''",""),IFERROR(INT(Output!E181)&amp;" "&amp;IF(MROUND((Output!E181-INT(Output!E181)),1/8)=0,"",VLOOKUP(MROUND((Output!E181-INT(Output!E181)),1/8),fract[],2,FALSE))&amp;"''","")),"")</f>
        <v/>
      </c>
      <c r="F182" s="8"/>
      <c r="G182" s="8"/>
      <c r="H182" s="9" t="str">
        <f t="shared" si="4"/>
        <v/>
      </c>
      <c r="I182" s="9" t="str">
        <f t="shared" si="5"/>
        <v/>
      </c>
      <c r="J182" s="12" t="str">
        <f>IF(ISNUMBER(Output!F181),Output!F181,"")</f>
        <v/>
      </c>
      <c r="K182" s="12" t="str">
        <f>IF(ISNUMBER(Output!G181),Output!G181,"")</f>
        <v/>
      </c>
    </row>
    <row r="183" spans="1:11" x14ac:dyDescent="0.25">
      <c r="A183" s="9" t="str">
        <f>IF(ISBLANK(Output!A182),"",Output!A182)</f>
        <v/>
      </c>
      <c r="B183" s="9" t="str">
        <f>IF(ISBLANK(Output!B182),"",Output!B182)</f>
        <v/>
      </c>
      <c r="C183" s="9" t="str">
        <f>IF(ISNUMBER(Output!C182),IF(Output!C182&gt;=12,IFERROR(ROUND(INT(Output!C182)/12,0)&amp;"'-"&amp;INT(ROUND((Output!C182/12-INT(Output!C182/12))*12,2))&amp;" "&amp;IF(MROUND(ROUND((Output!C182/12-INT(Output!C182/12))*12,3)-INT(ROUND((Output!C182/12-INT(Output!C182/12))*12,3)),1/8)=0,"",VLOOKUP(MROUND((Output!C182/12-INT(Output!C182/12))*12-INT((Output!C182/12-INT(Output!C182/12))*12),1/8),fract[],2,FALSE))&amp;"''",""),IFERROR(INT(Output!C182)&amp;" "&amp;IF(MROUND((Output!C182-INT(Output!C182)),1/8)=0,"",VLOOKUP(MROUND((Output!C182-INT(Output!C182)),1/8),fract[],2,FALSE))&amp;"''","")),"")</f>
        <v/>
      </c>
      <c r="D183" s="9" t="str">
        <f>IF(ISNUMBER(Output!D182),IFERROR(ROUND(INT(Output!D182/12),3)&amp;"'-"&amp;INT(ROUND((Output!D182/12-INT(Output!D182/12))*12,3))&amp;" "&amp;IF(MROUND(ROUND((Output!D182/12-INT(Output!D182/12))*12,3)-INT(ROUND((Output!D182/12-INT(Output!D182/12))*12,3)),1/8)=0,"",VLOOKUP(MROUND((Output!D182/12-INT(Output!D182/12))*12-INT((Output!D182/12-INT(Output!D182/12))*12),1/8),fract[],2,FALSE))&amp;"''",""),"")</f>
        <v/>
      </c>
      <c r="E183" s="9" t="str">
        <f>IF(ISNUMBER(Output!E182),IF(Output!E182&gt;=12,IFERROR(ROUND(INT(Output!E182)/12,0)&amp;"'-"&amp;INT(ROUND((Output!E182/12-INT(Output!E182/12))*12,2))&amp;" "&amp;IF(MROUND(ROUND((Output!E182/12-INT(Output!E182/12))*12,3)-INT(ROUND((Output!E182/12-INT(Output!E182/12))*12,3)),1/8)=0,"",VLOOKUP(MROUND((Output!E182/12-INT(Output!E182/12))*12-INT((Output!E182/12-INT(Output!E182/12))*12),1/8),fract[],2,FALSE))&amp;"''",""),IFERROR(INT(Output!E182)&amp;" "&amp;IF(MROUND((Output!E182-INT(Output!E182)),1/8)=0,"",VLOOKUP(MROUND((Output!E182-INT(Output!E182)),1/8),fract[],2,FALSE))&amp;"''","")),"")</f>
        <v/>
      </c>
      <c r="F183" s="8"/>
      <c r="G183" s="8"/>
      <c r="H183" s="9" t="str">
        <f t="shared" si="4"/>
        <v/>
      </c>
      <c r="I183" s="9" t="str">
        <f t="shared" si="5"/>
        <v/>
      </c>
      <c r="J183" s="12" t="str">
        <f>IF(ISNUMBER(Output!F182),Output!F182,"")</f>
        <v/>
      </c>
      <c r="K183" s="12" t="str">
        <f>IF(ISNUMBER(Output!G182),Output!G182,"")</f>
        <v/>
      </c>
    </row>
    <row r="184" spans="1:11" x14ac:dyDescent="0.25">
      <c r="A184" s="9" t="str">
        <f>IF(ISBLANK(Output!A183),"",Output!A183)</f>
        <v/>
      </c>
      <c r="B184" s="9" t="str">
        <f>IF(ISBLANK(Output!B183),"",Output!B183)</f>
        <v/>
      </c>
      <c r="C184" s="9" t="str">
        <f>IF(ISNUMBER(Output!C183),IF(Output!C183&gt;=12,IFERROR(ROUND(INT(Output!C183)/12,0)&amp;"'-"&amp;INT(ROUND((Output!C183/12-INT(Output!C183/12))*12,2))&amp;" "&amp;IF(MROUND(ROUND((Output!C183/12-INT(Output!C183/12))*12,3)-INT(ROUND((Output!C183/12-INT(Output!C183/12))*12,3)),1/8)=0,"",VLOOKUP(MROUND((Output!C183/12-INT(Output!C183/12))*12-INT((Output!C183/12-INT(Output!C183/12))*12),1/8),fract[],2,FALSE))&amp;"''",""),IFERROR(INT(Output!C183)&amp;" "&amp;IF(MROUND((Output!C183-INT(Output!C183)),1/8)=0,"",VLOOKUP(MROUND((Output!C183-INT(Output!C183)),1/8),fract[],2,FALSE))&amp;"''","")),"")</f>
        <v/>
      </c>
      <c r="D184" s="9" t="str">
        <f>IF(ISNUMBER(Output!D183),IFERROR(ROUND(INT(Output!D183/12),3)&amp;"'-"&amp;INT(ROUND((Output!D183/12-INT(Output!D183/12))*12,3))&amp;" "&amp;IF(MROUND(ROUND((Output!D183/12-INT(Output!D183/12))*12,3)-INT(ROUND((Output!D183/12-INT(Output!D183/12))*12,3)),1/8)=0,"",VLOOKUP(MROUND((Output!D183/12-INT(Output!D183/12))*12-INT((Output!D183/12-INT(Output!D183/12))*12),1/8),fract[],2,FALSE))&amp;"''",""),"")</f>
        <v/>
      </c>
      <c r="E184" s="9" t="str">
        <f>IF(ISNUMBER(Output!E183),IF(Output!E183&gt;=12,IFERROR(ROUND(INT(Output!E183)/12,0)&amp;"'-"&amp;INT(ROUND((Output!E183/12-INT(Output!E183/12))*12,2))&amp;" "&amp;IF(MROUND(ROUND((Output!E183/12-INT(Output!E183/12))*12,3)-INT(ROUND((Output!E183/12-INT(Output!E183/12))*12,3)),1/8)=0,"",VLOOKUP(MROUND((Output!E183/12-INT(Output!E183/12))*12-INT((Output!E183/12-INT(Output!E183/12))*12),1/8),fract[],2,FALSE))&amp;"''",""),IFERROR(INT(Output!E183)&amp;" "&amp;IF(MROUND((Output!E183-INT(Output!E183)),1/8)=0,"",VLOOKUP(MROUND((Output!E183-INT(Output!E183)),1/8),fract[],2,FALSE))&amp;"''","")),"")</f>
        <v/>
      </c>
      <c r="F184" s="8"/>
      <c r="G184" s="8"/>
      <c r="H184" s="9" t="str">
        <f t="shared" si="4"/>
        <v/>
      </c>
      <c r="I184" s="9" t="str">
        <f t="shared" si="5"/>
        <v/>
      </c>
      <c r="J184" s="12" t="str">
        <f>IF(ISNUMBER(Output!F183),Output!F183,"")</f>
        <v/>
      </c>
      <c r="K184" s="12" t="str">
        <f>IF(ISNUMBER(Output!G183),Output!G183,"")</f>
        <v/>
      </c>
    </row>
    <row r="185" spans="1:11" x14ac:dyDescent="0.25">
      <c r="A185" s="9" t="str">
        <f>IF(ISBLANK(Output!A184),"",Output!A184)</f>
        <v/>
      </c>
      <c r="B185" s="9" t="str">
        <f>IF(ISBLANK(Output!B184),"",Output!B184)</f>
        <v/>
      </c>
      <c r="C185" s="9" t="str">
        <f>IF(ISNUMBER(Output!C184),IF(Output!C184&gt;=12,IFERROR(ROUND(INT(Output!C184)/12,0)&amp;"'-"&amp;INT(ROUND((Output!C184/12-INT(Output!C184/12))*12,2))&amp;" "&amp;IF(MROUND(ROUND((Output!C184/12-INT(Output!C184/12))*12,3)-INT(ROUND((Output!C184/12-INT(Output!C184/12))*12,3)),1/8)=0,"",VLOOKUP(MROUND((Output!C184/12-INT(Output!C184/12))*12-INT((Output!C184/12-INT(Output!C184/12))*12),1/8),fract[],2,FALSE))&amp;"''",""),IFERROR(INT(Output!C184)&amp;" "&amp;IF(MROUND((Output!C184-INT(Output!C184)),1/8)=0,"",VLOOKUP(MROUND((Output!C184-INT(Output!C184)),1/8),fract[],2,FALSE))&amp;"''","")),"")</f>
        <v/>
      </c>
      <c r="D185" s="9" t="str">
        <f>IF(ISNUMBER(Output!D184),IFERROR(ROUND(INT(Output!D184/12),3)&amp;"'-"&amp;INT(ROUND((Output!D184/12-INT(Output!D184/12))*12,3))&amp;" "&amp;IF(MROUND(ROUND((Output!D184/12-INT(Output!D184/12))*12,3)-INT(ROUND((Output!D184/12-INT(Output!D184/12))*12,3)),1/8)=0,"",VLOOKUP(MROUND((Output!D184/12-INT(Output!D184/12))*12-INT((Output!D184/12-INT(Output!D184/12))*12),1/8),fract[],2,FALSE))&amp;"''",""),"")</f>
        <v/>
      </c>
      <c r="E185" s="9" t="str">
        <f>IF(ISNUMBER(Output!E184),IF(Output!E184&gt;=12,IFERROR(ROUND(INT(Output!E184)/12,0)&amp;"'-"&amp;INT(ROUND((Output!E184/12-INT(Output!E184/12))*12,2))&amp;" "&amp;IF(MROUND(ROUND((Output!E184/12-INT(Output!E184/12))*12,3)-INT(ROUND((Output!E184/12-INT(Output!E184/12))*12,3)),1/8)=0,"",VLOOKUP(MROUND((Output!E184/12-INT(Output!E184/12))*12-INT((Output!E184/12-INT(Output!E184/12))*12),1/8),fract[],2,FALSE))&amp;"''",""),IFERROR(INT(Output!E184)&amp;" "&amp;IF(MROUND((Output!E184-INT(Output!E184)),1/8)=0,"",VLOOKUP(MROUND((Output!E184-INT(Output!E184)),1/8),fract[],2,FALSE))&amp;"''","")),"")</f>
        <v/>
      </c>
      <c r="F185" s="8"/>
      <c r="G185" s="8"/>
      <c r="H185" s="9" t="str">
        <f t="shared" si="4"/>
        <v/>
      </c>
      <c r="I185" s="9" t="str">
        <f t="shared" si="5"/>
        <v/>
      </c>
      <c r="J185" s="12" t="str">
        <f>IF(ISNUMBER(Output!F184),Output!F184,"")</f>
        <v/>
      </c>
      <c r="K185" s="12" t="str">
        <f>IF(ISNUMBER(Output!G184),Output!G184,"")</f>
        <v/>
      </c>
    </row>
    <row r="186" spans="1:11" x14ac:dyDescent="0.25">
      <c r="A186" s="9" t="str">
        <f>IF(ISBLANK(Output!A185),"",Output!A185)</f>
        <v/>
      </c>
      <c r="B186" s="9" t="str">
        <f>IF(ISBLANK(Output!B185),"",Output!B185)</f>
        <v/>
      </c>
      <c r="C186" s="9" t="str">
        <f>IF(ISNUMBER(Output!C185),IF(Output!C185&gt;=12,IFERROR(ROUND(INT(Output!C185)/12,0)&amp;"'-"&amp;INT(ROUND((Output!C185/12-INT(Output!C185/12))*12,2))&amp;" "&amp;IF(MROUND(ROUND((Output!C185/12-INT(Output!C185/12))*12,3)-INT(ROUND((Output!C185/12-INT(Output!C185/12))*12,3)),1/8)=0,"",VLOOKUP(MROUND((Output!C185/12-INT(Output!C185/12))*12-INT((Output!C185/12-INT(Output!C185/12))*12),1/8),fract[],2,FALSE))&amp;"''",""),IFERROR(INT(Output!C185)&amp;" "&amp;IF(MROUND((Output!C185-INT(Output!C185)),1/8)=0,"",VLOOKUP(MROUND((Output!C185-INT(Output!C185)),1/8),fract[],2,FALSE))&amp;"''","")),"")</f>
        <v/>
      </c>
      <c r="D186" s="9" t="str">
        <f>IF(ISNUMBER(Output!D185),IFERROR(ROUND(INT(Output!D185/12),3)&amp;"'-"&amp;INT(ROUND((Output!D185/12-INT(Output!D185/12))*12,3))&amp;" "&amp;IF(MROUND(ROUND((Output!D185/12-INT(Output!D185/12))*12,3)-INT(ROUND((Output!D185/12-INT(Output!D185/12))*12,3)),1/8)=0,"",VLOOKUP(MROUND((Output!D185/12-INT(Output!D185/12))*12-INT((Output!D185/12-INT(Output!D185/12))*12),1/8),fract[],2,FALSE))&amp;"''",""),"")</f>
        <v/>
      </c>
      <c r="E186" s="9" t="str">
        <f>IF(ISNUMBER(Output!E185),IF(Output!E185&gt;=12,IFERROR(ROUND(INT(Output!E185)/12,0)&amp;"'-"&amp;INT(ROUND((Output!E185/12-INT(Output!E185/12))*12,2))&amp;" "&amp;IF(MROUND(ROUND((Output!E185/12-INT(Output!E185/12))*12,3)-INT(ROUND((Output!E185/12-INT(Output!E185/12))*12,3)),1/8)=0,"",VLOOKUP(MROUND((Output!E185/12-INT(Output!E185/12))*12-INT((Output!E185/12-INT(Output!E185/12))*12),1/8),fract[],2,FALSE))&amp;"''",""),IFERROR(INT(Output!E185)&amp;" "&amp;IF(MROUND((Output!E185-INT(Output!E185)),1/8)=0,"",VLOOKUP(MROUND((Output!E185-INT(Output!E185)),1/8),fract[],2,FALSE))&amp;"''","")),"")</f>
        <v/>
      </c>
      <c r="F186" s="8"/>
      <c r="G186" s="8"/>
      <c r="H186" s="9" t="str">
        <f t="shared" si="4"/>
        <v/>
      </c>
      <c r="I186" s="9" t="str">
        <f t="shared" si="5"/>
        <v/>
      </c>
      <c r="J186" s="12" t="str">
        <f>IF(ISNUMBER(Output!F185),Output!F185,"")</f>
        <v/>
      </c>
      <c r="K186" s="12" t="str">
        <f>IF(ISNUMBER(Output!G185),Output!G185,"")</f>
        <v/>
      </c>
    </row>
    <row r="187" spans="1:11" x14ac:dyDescent="0.25">
      <c r="A187" s="9" t="str">
        <f>IF(ISBLANK(Output!A186),"",Output!A186)</f>
        <v/>
      </c>
      <c r="B187" s="9" t="str">
        <f>IF(ISBLANK(Output!B186),"",Output!B186)</f>
        <v/>
      </c>
      <c r="C187" s="9" t="str">
        <f>IF(ISNUMBER(Output!C186),IF(Output!C186&gt;=12,IFERROR(ROUND(INT(Output!C186)/12,0)&amp;"'-"&amp;INT(ROUND((Output!C186/12-INT(Output!C186/12))*12,2))&amp;" "&amp;IF(MROUND(ROUND((Output!C186/12-INT(Output!C186/12))*12,3)-INT(ROUND((Output!C186/12-INT(Output!C186/12))*12,3)),1/8)=0,"",VLOOKUP(MROUND((Output!C186/12-INT(Output!C186/12))*12-INT((Output!C186/12-INT(Output!C186/12))*12),1/8),fract[],2,FALSE))&amp;"''",""),IFERROR(INT(Output!C186)&amp;" "&amp;IF(MROUND((Output!C186-INT(Output!C186)),1/8)=0,"",VLOOKUP(MROUND((Output!C186-INT(Output!C186)),1/8),fract[],2,FALSE))&amp;"''","")),"")</f>
        <v/>
      </c>
      <c r="D187" s="9" t="str">
        <f>IF(ISNUMBER(Output!D186),IFERROR(ROUND(INT(Output!D186/12),3)&amp;"'-"&amp;INT(ROUND((Output!D186/12-INT(Output!D186/12))*12,3))&amp;" "&amp;IF(MROUND(ROUND((Output!D186/12-INT(Output!D186/12))*12,3)-INT(ROUND((Output!D186/12-INT(Output!D186/12))*12,3)),1/8)=0,"",VLOOKUP(MROUND((Output!D186/12-INT(Output!D186/12))*12-INT((Output!D186/12-INT(Output!D186/12))*12),1/8),fract[],2,FALSE))&amp;"''",""),"")</f>
        <v/>
      </c>
      <c r="E187" s="9" t="str">
        <f>IF(ISNUMBER(Output!E186),IF(Output!E186&gt;=12,IFERROR(ROUND(INT(Output!E186)/12,0)&amp;"'-"&amp;INT(ROUND((Output!E186/12-INT(Output!E186/12))*12,2))&amp;" "&amp;IF(MROUND(ROUND((Output!E186/12-INT(Output!E186/12))*12,3)-INT(ROUND((Output!E186/12-INT(Output!E186/12))*12,3)),1/8)=0,"",VLOOKUP(MROUND((Output!E186/12-INT(Output!E186/12))*12-INT((Output!E186/12-INT(Output!E186/12))*12),1/8),fract[],2,FALSE))&amp;"''",""),IFERROR(INT(Output!E186)&amp;" "&amp;IF(MROUND((Output!E186-INT(Output!E186)),1/8)=0,"",VLOOKUP(MROUND((Output!E186-INT(Output!E186)),1/8),fract[],2,FALSE))&amp;"''","")),"")</f>
        <v/>
      </c>
      <c r="F187" s="8"/>
      <c r="G187" s="8"/>
      <c r="H187" s="9" t="str">
        <f t="shared" si="4"/>
        <v/>
      </c>
      <c r="I187" s="9" t="str">
        <f t="shared" si="5"/>
        <v/>
      </c>
      <c r="J187" s="12" t="str">
        <f>IF(ISNUMBER(Output!F186),Output!F186,"")</f>
        <v/>
      </c>
      <c r="K187" s="12" t="str">
        <f>IF(ISNUMBER(Output!G186),Output!G186,"")</f>
        <v/>
      </c>
    </row>
    <row r="188" spans="1:11" x14ac:dyDescent="0.25">
      <c r="A188" s="9" t="str">
        <f>IF(ISBLANK(Output!A187),"",Output!A187)</f>
        <v/>
      </c>
      <c r="B188" s="9" t="str">
        <f>IF(ISBLANK(Output!B187),"",Output!B187)</f>
        <v/>
      </c>
      <c r="C188" s="9" t="str">
        <f>IF(ISNUMBER(Output!C187),IF(Output!C187&gt;=12,IFERROR(ROUND(INT(Output!C187)/12,0)&amp;"'-"&amp;INT(ROUND((Output!C187/12-INT(Output!C187/12))*12,2))&amp;" "&amp;IF(MROUND(ROUND((Output!C187/12-INT(Output!C187/12))*12,3)-INT(ROUND((Output!C187/12-INT(Output!C187/12))*12,3)),1/8)=0,"",VLOOKUP(MROUND((Output!C187/12-INT(Output!C187/12))*12-INT((Output!C187/12-INT(Output!C187/12))*12),1/8),fract[],2,FALSE))&amp;"''",""),IFERROR(INT(Output!C187)&amp;" "&amp;IF(MROUND((Output!C187-INT(Output!C187)),1/8)=0,"",VLOOKUP(MROUND((Output!C187-INT(Output!C187)),1/8),fract[],2,FALSE))&amp;"''","")),"")</f>
        <v/>
      </c>
      <c r="D188" s="9" t="str">
        <f>IF(ISNUMBER(Output!D187),IFERROR(ROUND(INT(Output!D187/12),3)&amp;"'-"&amp;INT(ROUND((Output!D187/12-INT(Output!D187/12))*12,3))&amp;" "&amp;IF(MROUND(ROUND((Output!D187/12-INT(Output!D187/12))*12,3)-INT(ROUND((Output!D187/12-INT(Output!D187/12))*12,3)),1/8)=0,"",VLOOKUP(MROUND((Output!D187/12-INT(Output!D187/12))*12-INT((Output!D187/12-INT(Output!D187/12))*12),1/8),fract[],2,FALSE))&amp;"''",""),"")</f>
        <v/>
      </c>
      <c r="E188" s="9" t="str">
        <f>IF(ISNUMBER(Output!E187),IF(Output!E187&gt;=12,IFERROR(ROUND(INT(Output!E187)/12,0)&amp;"'-"&amp;INT(ROUND((Output!E187/12-INT(Output!E187/12))*12,2))&amp;" "&amp;IF(MROUND(ROUND((Output!E187/12-INT(Output!E187/12))*12,3)-INT(ROUND((Output!E187/12-INT(Output!E187/12))*12,3)),1/8)=0,"",VLOOKUP(MROUND((Output!E187/12-INT(Output!E187/12))*12-INT((Output!E187/12-INT(Output!E187/12))*12),1/8),fract[],2,FALSE))&amp;"''",""),IFERROR(INT(Output!E187)&amp;" "&amp;IF(MROUND((Output!E187-INT(Output!E187)),1/8)=0,"",VLOOKUP(MROUND((Output!E187-INT(Output!E187)),1/8),fract[],2,FALSE))&amp;"''","")),"")</f>
        <v/>
      </c>
      <c r="F188" s="8"/>
      <c r="G188" s="8"/>
      <c r="H188" s="9" t="str">
        <f t="shared" si="4"/>
        <v/>
      </c>
      <c r="I188" s="9" t="str">
        <f t="shared" si="5"/>
        <v/>
      </c>
      <c r="J188" s="12" t="str">
        <f>IF(ISNUMBER(Output!F187),Output!F187,"")</f>
        <v/>
      </c>
      <c r="K188" s="12" t="str">
        <f>IF(ISNUMBER(Output!G187),Output!G187,"")</f>
        <v/>
      </c>
    </row>
    <row r="189" spans="1:11" x14ac:dyDescent="0.25">
      <c r="A189" s="9" t="str">
        <f>IF(ISBLANK(Output!A188),"",Output!A188)</f>
        <v/>
      </c>
      <c r="B189" s="9" t="str">
        <f>IF(ISBLANK(Output!B188),"",Output!B188)</f>
        <v/>
      </c>
      <c r="C189" s="9" t="str">
        <f>IF(ISNUMBER(Output!C188),IF(Output!C188&gt;=12,IFERROR(ROUND(INT(Output!C188)/12,0)&amp;"'-"&amp;INT(ROUND((Output!C188/12-INT(Output!C188/12))*12,2))&amp;" "&amp;IF(MROUND(ROUND((Output!C188/12-INT(Output!C188/12))*12,3)-INT(ROUND((Output!C188/12-INT(Output!C188/12))*12,3)),1/8)=0,"",VLOOKUP(MROUND((Output!C188/12-INT(Output!C188/12))*12-INT((Output!C188/12-INT(Output!C188/12))*12),1/8),fract[],2,FALSE))&amp;"''",""),IFERROR(INT(Output!C188)&amp;" "&amp;IF(MROUND((Output!C188-INT(Output!C188)),1/8)=0,"",VLOOKUP(MROUND((Output!C188-INT(Output!C188)),1/8),fract[],2,FALSE))&amp;"''","")),"")</f>
        <v/>
      </c>
      <c r="D189" s="9" t="str">
        <f>IF(ISNUMBER(Output!D188),IFERROR(ROUND(INT(Output!D188/12),3)&amp;"'-"&amp;INT(ROUND((Output!D188/12-INT(Output!D188/12))*12,3))&amp;" "&amp;IF(MROUND(ROUND((Output!D188/12-INT(Output!D188/12))*12,3)-INT(ROUND((Output!D188/12-INT(Output!D188/12))*12,3)),1/8)=0,"",VLOOKUP(MROUND((Output!D188/12-INT(Output!D188/12))*12-INT((Output!D188/12-INT(Output!D188/12))*12),1/8),fract[],2,FALSE))&amp;"''",""),"")</f>
        <v/>
      </c>
      <c r="E189" s="9" t="str">
        <f>IF(ISNUMBER(Output!E188),IF(Output!E188&gt;=12,IFERROR(ROUND(INT(Output!E188)/12,0)&amp;"'-"&amp;INT(ROUND((Output!E188/12-INT(Output!E188/12))*12,2))&amp;" "&amp;IF(MROUND(ROUND((Output!E188/12-INT(Output!E188/12))*12,3)-INT(ROUND((Output!E188/12-INT(Output!E188/12))*12,3)),1/8)=0,"",VLOOKUP(MROUND((Output!E188/12-INT(Output!E188/12))*12-INT((Output!E188/12-INT(Output!E188/12))*12),1/8),fract[],2,FALSE))&amp;"''",""),IFERROR(INT(Output!E188)&amp;" "&amp;IF(MROUND((Output!E188-INT(Output!E188)),1/8)=0,"",VLOOKUP(MROUND((Output!E188-INT(Output!E188)),1/8),fract[],2,FALSE))&amp;"''","")),"")</f>
        <v/>
      </c>
      <c r="F189" s="8"/>
      <c r="G189" s="8"/>
      <c r="H189" s="9" t="str">
        <f t="shared" si="4"/>
        <v/>
      </c>
      <c r="I189" s="9" t="str">
        <f t="shared" si="5"/>
        <v/>
      </c>
      <c r="J189" s="12" t="str">
        <f>IF(ISNUMBER(Output!F188),Output!F188,"")</f>
        <v/>
      </c>
      <c r="K189" s="12" t="str">
        <f>IF(ISNUMBER(Output!G188),Output!G188,"")</f>
        <v/>
      </c>
    </row>
    <row r="190" spans="1:11" x14ac:dyDescent="0.25">
      <c r="A190" s="9" t="str">
        <f>IF(ISBLANK(Output!A189),"",Output!A189)</f>
        <v/>
      </c>
      <c r="B190" s="9" t="str">
        <f>IF(ISBLANK(Output!B189),"",Output!B189)</f>
        <v/>
      </c>
      <c r="C190" s="9" t="str">
        <f>IF(ISNUMBER(Output!C189),IF(Output!C189&gt;=12,IFERROR(ROUND(INT(Output!C189)/12,0)&amp;"'-"&amp;INT(ROUND((Output!C189/12-INT(Output!C189/12))*12,2))&amp;" "&amp;IF(MROUND(ROUND((Output!C189/12-INT(Output!C189/12))*12,3)-INT(ROUND((Output!C189/12-INT(Output!C189/12))*12,3)),1/8)=0,"",VLOOKUP(MROUND((Output!C189/12-INT(Output!C189/12))*12-INT((Output!C189/12-INT(Output!C189/12))*12),1/8),fract[],2,FALSE))&amp;"''",""),IFERROR(INT(Output!C189)&amp;" "&amp;IF(MROUND((Output!C189-INT(Output!C189)),1/8)=0,"",VLOOKUP(MROUND((Output!C189-INT(Output!C189)),1/8),fract[],2,FALSE))&amp;"''","")),"")</f>
        <v/>
      </c>
      <c r="D190" s="9" t="str">
        <f>IF(ISNUMBER(Output!D189),IFERROR(ROUND(INT(Output!D189/12),3)&amp;"'-"&amp;INT(ROUND((Output!D189/12-INT(Output!D189/12))*12,3))&amp;" "&amp;IF(MROUND(ROUND((Output!D189/12-INT(Output!D189/12))*12,3)-INT(ROUND((Output!D189/12-INT(Output!D189/12))*12,3)),1/8)=0,"",VLOOKUP(MROUND((Output!D189/12-INT(Output!D189/12))*12-INT((Output!D189/12-INT(Output!D189/12))*12),1/8),fract[],2,FALSE))&amp;"''",""),"")</f>
        <v/>
      </c>
      <c r="E190" s="9" t="str">
        <f>IF(ISNUMBER(Output!E189),IF(Output!E189&gt;=12,IFERROR(ROUND(INT(Output!E189)/12,0)&amp;"'-"&amp;INT(ROUND((Output!E189/12-INT(Output!E189/12))*12,2))&amp;" "&amp;IF(MROUND(ROUND((Output!E189/12-INT(Output!E189/12))*12,3)-INT(ROUND((Output!E189/12-INT(Output!E189/12))*12,3)),1/8)=0,"",VLOOKUP(MROUND((Output!E189/12-INT(Output!E189/12))*12-INT((Output!E189/12-INT(Output!E189/12))*12),1/8),fract[],2,FALSE))&amp;"''",""),IFERROR(INT(Output!E189)&amp;" "&amp;IF(MROUND((Output!E189-INT(Output!E189)),1/8)=0,"",VLOOKUP(MROUND((Output!E189-INT(Output!E189)),1/8),fract[],2,FALSE))&amp;"''","")),"")</f>
        <v/>
      </c>
      <c r="F190" s="8"/>
      <c r="G190" s="8"/>
      <c r="H190" s="9" t="str">
        <f t="shared" si="4"/>
        <v/>
      </c>
      <c r="I190" s="9" t="str">
        <f t="shared" si="5"/>
        <v/>
      </c>
      <c r="J190" s="12" t="str">
        <f>IF(ISNUMBER(Output!F189),Output!F189,"")</f>
        <v/>
      </c>
      <c r="K190" s="12" t="str">
        <f>IF(ISNUMBER(Output!G189),Output!G189,"")</f>
        <v/>
      </c>
    </row>
    <row r="191" spans="1:11" x14ac:dyDescent="0.25">
      <c r="A191" s="9" t="str">
        <f>IF(ISBLANK(Output!A190),"",Output!A190)</f>
        <v/>
      </c>
      <c r="B191" s="9" t="str">
        <f>IF(ISBLANK(Output!B190),"",Output!B190)</f>
        <v/>
      </c>
      <c r="C191" s="9" t="str">
        <f>IF(ISNUMBER(Output!C190),IF(Output!C190&gt;=12,IFERROR(ROUND(INT(Output!C190)/12,0)&amp;"'-"&amp;INT(ROUND((Output!C190/12-INT(Output!C190/12))*12,2))&amp;" "&amp;IF(MROUND(ROUND((Output!C190/12-INT(Output!C190/12))*12,3)-INT(ROUND((Output!C190/12-INT(Output!C190/12))*12,3)),1/8)=0,"",VLOOKUP(MROUND((Output!C190/12-INT(Output!C190/12))*12-INT((Output!C190/12-INT(Output!C190/12))*12),1/8),fract[],2,FALSE))&amp;"''",""),IFERROR(INT(Output!C190)&amp;" "&amp;IF(MROUND((Output!C190-INT(Output!C190)),1/8)=0,"",VLOOKUP(MROUND((Output!C190-INT(Output!C190)),1/8),fract[],2,FALSE))&amp;"''","")),"")</f>
        <v/>
      </c>
      <c r="D191" s="9" t="str">
        <f>IF(ISNUMBER(Output!D190),IFERROR(ROUND(INT(Output!D190/12),3)&amp;"'-"&amp;INT(ROUND((Output!D190/12-INT(Output!D190/12))*12,3))&amp;" "&amp;IF(MROUND(ROUND((Output!D190/12-INT(Output!D190/12))*12,3)-INT(ROUND((Output!D190/12-INT(Output!D190/12))*12,3)),1/8)=0,"",VLOOKUP(MROUND((Output!D190/12-INT(Output!D190/12))*12-INT((Output!D190/12-INT(Output!D190/12))*12),1/8),fract[],2,FALSE))&amp;"''",""),"")</f>
        <v/>
      </c>
      <c r="E191" s="9" t="str">
        <f>IF(ISNUMBER(Output!E190),IF(Output!E190&gt;=12,IFERROR(ROUND(INT(Output!E190)/12,0)&amp;"'-"&amp;INT(ROUND((Output!E190/12-INT(Output!E190/12))*12,2))&amp;" "&amp;IF(MROUND(ROUND((Output!E190/12-INT(Output!E190/12))*12,3)-INT(ROUND((Output!E190/12-INT(Output!E190/12))*12,3)),1/8)=0,"",VLOOKUP(MROUND((Output!E190/12-INT(Output!E190/12))*12-INT((Output!E190/12-INT(Output!E190/12))*12),1/8),fract[],2,FALSE))&amp;"''",""),IFERROR(INT(Output!E190)&amp;" "&amp;IF(MROUND((Output!E190-INT(Output!E190)),1/8)=0,"",VLOOKUP(MROUND((Output!E190-INT(Output!E190)),1/8),fract[],2,FALSE))&amp;"''","")),"")</f>
        <v/>
      </c>
      <c r="F191" s="8"/>
      <c r="G191" s="8"/>
      <c r="H191" s="9" t="str">
        <f t="shared" si="4"/>
        <v/>
      </c>
      <c r="I191" s="9" t="str">
        <f t="shared" si="5"/>
        <v/>
      </c>
      <c r="J191" s="12" t="str">
        <f>IF(ISNUMBER(Output!F190),Output!F190,"")</f>
        <v/>
      </c>
      <c r="K191" s="12" t="str">
        <f>IF(ISNUMBER(Output!G190),Output!G190,"")</f>
        <v/>
      </c>
    </row>
    <row r="192" spans="1:11" x14ac:dyDescent="0.25">
      <c r="A192" s="9" t="str">
        <f>IF(ISBLANK(Output!A191),"",Output!A191)</f>
        <v/>
      </c>
      <c r="B192" s="9" t="str">
        <f>IF(ISBLANK(Output!B191),"",Output!B191)</f>
        <v/>
      </c>
      <c r="C192" s="9" t="str">
        <f>IF(ISNUMBER(Output!C191),IF(Output!C191&gt;=12,IFERROR(ROUND(INT(Output!C191)/12,0)&amp;"'-"&amp;INT(ROUND((Output!C191/12-INT(Output!C191/12))*12,2))&amp;" "&amp;IF(MROUND(ROUND((Output!C191/12-INT(Output!C191/12))*12,3)-INT(ROUND((Output!C191/12-INT(Output!C191/12))*12,3)),1/8)=0,"",VLOOKUP(MROUND((Output!C191/12-INT(Output!C191/12))*12-INT((Output!C191/12-INT(Output!C191/12))*12),1/8),fract[],2,FALSE))&amp;"''",""),IFERROR(INT(Output!C191)&amp;" "&amp;IF(MROUND((Output!C191-INT(Output!C191)),1/8)=0,"",VLOOKUP(MROUND((Output!C191-INT(Output!C191)),1/8),fract[],2,FALSE))&amp;"''","")),"")</f>
        <v/>
      </c>
      <c r="D192" s="9" t="str">
        <f>IF(ISNUMBER(Output!D191),IFERROR(ROUND(INT(Output!D191/12),3)&amp;"'-"&amp;INT(ROUND((Output!D191/12-INT(Output!D191/12))*12,3))&amp;" "&amp;IF(MROUND(ROUND((Output!D191/12-INT(Output!D191/12))*12,3)-INT(ROUND((Output!D191/12-INT(Output!D191/12))*12,3)),1/8)=0,"",VLOOKUP(MROUND((Output!D191/12-INT(Output!D191/12))*12-INT((Output!D191/12-INT(Output!D191/12))*12),1/8),fract[],2,FALSE))&amp;"''",""),"")</f>
        <v/>
      </c>
      <c r="E192" s="9" t="str">
        <f>IF(ISNUMBER(Output!E191),IF(Output!E191&gt;=12,IFERROR(ROUND(INT(Output!E191)/12,0)&amp;"'-"&amp;INT(ROUND((Output!E191/12-INT(Output!E191/12))*12,2))&amp;" "&amp;IF(MROUND(ROUND((Output!E191/12-INT(Output!E191/12))*12,3)-INT(ROUND((Output!E191/12-INT(Output!E191/12))*12,3)),1/8)=0,"",VLOOKUP(MROUND((Output!E191/12-INT(Output!E191/12))*12-INT((Output!E191/12-INT(Output!E191/12))*12),1/8),fract[],2,FALSE))&amp;"''",""),IFERROR(INT(Output!E191)&amp;" "&amp;IF(MROUND((Output!E191-INT(Output!E191)),1/8)=0,"",VLOOKUP(MROUND((Output!E191-INT(Output!E191)),1/8),fract[],2,FALSE))&amp;"''","")),"")</f>
        <v/>
      </c>
      <c r="F192" s="8"/>
      <c r="G192" s="8"/>
      <c r="H192" s="9" t="str">
        <f t="shared" si="4"/>
        <v/>
      </c>
      <c r="I192" s="9" t="str">
        <f t="shared" si="5"/>
        <v/>
      </c>
      <c r="J192" s="12" t="str">
        <f>IF(ISNUMBER(Output!F191),Output!F191,"")</f>
        <v/>
      </c>
      <c r="K192" s="12" t="str">
        <f>IF(ISNUMBER(Output!G191),Output!G191,"")</f>
        <v/>
      </c>
    </row>
    <row r="193" spans="1:11" x14ac:dyDescent="0.25">
      <c r="A193" s="9" t="str">
        <f>IF(ISBLANK(Output!A192),"",Output!A192)</f>
        <v/>
      </c>
      <c r="B193" s="9" t="str">
        <f>IF(ISBLANK(Output!B192),"",Output!B192)</f>
        <v/>
      </c>
      <c r="C193" s="9" t="str">
        <f>IF(ISNUMBER(Output!C192),IF(Output!C192&gt;=12,IFERROR(ROUND(INT(Output!C192)/12,0)&amp;"'-"&amp;INT(ROUND((Output!C192/12-INT(Output!C192/12))*12,2))&amp;" "&amp;IF(MROUND(ROUND((Output!C192/12-INT(Output!C192/12))*12,3)-INT(ROUND((Output!C192/12-INT(Output!C192/12))*12,3)),1/8)=0,"",VLOOKUP(MROUND((Output!C192/12-INT(Output!C192/12))*12-INT((Output!C192/12-INT(Output!C192/12))*12),1/8),fract[],2,FALSE))&amp;"''",""),IFERROR(INT(Output!C192)&amp;" "&amp;IF(MROUND((Output!C192-INT(Output!C192)),1/8)=0,"",VLOOKUP(MROUND((Output!C192-INT(Output!C192)),1/8),fract[],2,FALSE))&amp;"''","")),"")</f>
        <v/>
      </c>
      <c r="D193" s="9" t="str">
        <f>IF(ISNUMBER(Output!D192),IFERROR(ROUND(INT(Output!D192/12),3)&amp;"'-"&amp;INT(ROUND((Output!D192/12-INT(Output!D192/12))*12,3))&amp;" "&amp;IF(MROUND(ROUND((Output!D192/12-INT(Output!D192/12))*12,3)-INT(ROUND((Output!D192/12-INT(Output!D192/12))*12,3)),1/8)=0,"",VLOOKUP(MROUND((Output!D192/12-INT(Output!D192/12))*12-INT((Output!D192/12-INT(Output!D192/12))*12),1/8),fract[],2,FALSE))&amp;"''",""),"")</f>
        <v/>
      </c>
      <c r="E193" s="9" t="str">
        <f>IF(ISNUMBER(Output!E192),IF(Output!E192&gt;=12,IFERROR(ROUND(INT(Output!E192)/12,0)&amp;"'-"&amp;INT(ROUND((Output!E192/12-INT(Output!E192/12))*12,2))&amp;" "&amp;IF(MROUND(ROUND((Output!E192/12-INT(Output!E192/12))*12,3)-INT(ROUND((Output!E192/12-INT(Output!E192/12))*12,3)),1/8)=0,"",VLOOKUP(MROUND((Output!E192/12-INT(Output!E192/12))*12-INT((Output!E192/12-INT(Output!E192/12))*12),1/8),fract[],2,FALSE))&amp;"''",""),IFERROR(INT(Output!E192)&amp;" "&amp;IF(MROUND((Output!E192-INT(Output!E192)),1/8)=0,"",VLOOKUP(MROUND((Output!E192-INT(Output!E192)),1/8),fract[],2,FALSE))&amp;"''","")),"")</f>
        <v/>
      </c>
      <c r="F193" s="8"/>
      <c r="G193" s="8"/>
      <c r="H193" s="9" t="str">
        <f t="shared" si="4"/>
        <v/>
      </c>
      <c r="I193" s="9" t="str">
        <f t="shared" si="5"/>
        <v/>
      </c>
      <c r="J193" s="12" t="str">
        <f>IF(ISNUMBER(Output!F192),Output!F192,"")</f>
        <v/>
      </c>
      <c r="K193" s="12" t="str">
        <f>IF(ISNUMBER(Output!G192),Output!G192,"")</f>
        <v/>
      </c>
    </row>
    <row r="194" spans="1:11" x14ac:dyDescent="0.25">
      <c r="A194" s="9" t="str">
        <f>IF(ISBLANK(Output!A193),"",Output!A193)</f>
        <v/>
      </c>
      <c r="B194" s="9" t="str">
        <f>IF(ISBLANK(Output!B193),"",Output!B193)</f>
        <v/>
      </c>
      <c r="C194" s="9" t="str">
        <f>IF(ISNUMBER(Output!C193),IF(Output!C193&gt;=12,IFERROR(ROUND(INT(Output!C193)/12,0)&amp;"'-"&amp;INT(ROUND((Output!C193/12-INT(Output!C193/12))*12,2))&amp;" "&amp;IF(MROUND(ROUND((Output!C193/12-INT(Output!C193/12))*12,3)-INT(ROUND((Output!C193/12-INT(Output!C193/12))*12,3)),1/8)=0,"",VLOOKUP(MROUND((Output!C193/12-INT(Output!C193/12))*12-INT((Output!C193/12-INT(Output!C193/12))*12),1/8),fract[],2,FALSE))&amp;"''",""),IFERROR(INT(Output!C193)&amp;" "&amp;IF(MROUND((Output!C193-INT(Output!C193)),1/8)=0,"",VLOOKUP(MROUND((Output!C193-INT(Output!C193)),1/8),fract[],2,FALSE))&amp;"''","")),"")</f>
        <v/>
      </c>
      <c r="D194" s="9" t="str">
        <f>IF(ISNUMBER(Output!D193),IFERROR(ROUND(INT(Output!D193/12),3)&amp;"'-"&amp;INT(ROUND((Output!D193/12-INT(Output!D193/12))*12,3))&amp;" "&amp;IF(MROUND(ROUND((Output!D193/12-INT(Output!D193/12))*12,3)-INT(ROUND((Output!D193/12-INT(Output!D193/12))*12,3)),1/8)=0,"",VLOOKUP(MROUND((Output!D193/12-INT(Output!D193/12))*12-INT((Output!D193/12-INT(Output!D193/12))*12),1/8),fract[],2,FALSE))&amp;"''",""),"")</f>
        <v/>
      </c>
      <c r="E194" s="9" t="str">
        <f>IF(ISNUMBER(Output!E193),IF(Output!E193&gt;=12,IFERROR(ROUND(INT(Output!E193)/12,0)&amp;"'-"&amp;INT(ROUND((Output!E193/12-INT(Output!E193/12))*12,2))&amp;" "&amp;IF(MROUND(ROUND((Output!E193/12-INT(Output!E193/12))*12,3)-INT(ROUND((Output!E193/12-INT(Output!E193/12))*12,3)),1/8)=0,"",VLOOKUP(MROUND((Output!E193/12-INT(Output!E193/12))*12-INT((Output!E193/12-INT(Output!E193/12))*12),1/8),fract[],2,FALSE))&amp;"''",""),IFERROR(INT(Output!E193)&amp;" "&amp;IF(MROUND((Output!E193-INT(Output!E193)),1/8)=0,"",VLOOKUP(MROUND((Output!E193-INT(Output!E193)),1/8),fract[],2,FALSE))&amp;"''","")),"")</f>
        <v/>
      </c>
      <c r="F194" s="8"/>
      <c r="G194" s="8"/>
      <c r="H194" s="9" t="str">
        <f t="shared" si="4"/>
        <v/>
      </c>
      <c r="I194" s="9" t="str">
        <f t="shared" si="5"/>
        <v/>
      </c>
      <c r="J194" s="12" t="str">
        <f>IF(ISNUMBER(Output!F193),Output!F193,"")</f>
        <v/>
      </c>
      <c r="K194" s="12" t="str">
        <f>IF(ISNUMBER(Output!G193),Output!G193,"")</f>
        <v/>
      </c>
    </row>
    <row r="195" spans="1:11" x14ac:dyDescent="0.25">
      <c r="A195" s="9" t="str">
        <f>IF(ISBLANK(Output!A194),"",Output!A194)</f>
        <v/>
      </c>
      <c r="B195" s="9" t="str">
        <f>IF(ISBLANK(Output!B194),"",Output!B194)</f>
        <v/>
      </c>
      <c r="C195" s="9" t="str">
        <f>IF(ISNUMBER(Output!C194),IF(Output!C194&gt;=12,IFERROR(ROUND(INT(Output!C194)/12,0)&amp;"'-"&amp;INT(ROUND((Output!C194/12-INT(Output!C194/12))*12,2))&amp;" "&amp;IF(MROUND(ROUND((Output!C194/12-INT(Output!C194/12))*12,3)-INT(ROUND((Output!C194/12-INT(Output!C194/12))*12,3)),1/8)=0,"",VLOOKUP(MROUND((Output!C194/12-INT(Output!C194/12))*12-INT((Output!C194/12-INT(Output!C194/12))*12),1/8),fract[],2,FALSE))&amp;"''",""),IFERROR(INT(Output!C194)&amp;" "&amp;IF(MROUND((Output!C194-INT(Output!C194)),1/8)=0,"",VLOOKUP(MROUND((Output!C194-INT(Output!C194)),1/8),fract[],2,FALSE))&amp;"''","")),"")</f>
        <v/>
      </c>
      <c r="D195" s="9" t="str">
        <f>IF(ISNUMBER(Output!D194),IFERROR(ROUND(INT(Output!D194/12),3)&amp;"'-"&amp;INT(ROUND((Output!D194/12-INT(Output!D194/12))*12,3))&amp;" "&amp;IF(MROUND(ROUND((Output!D194/12-INT(Output!D194/12))*12,3)-INT(ROUND((Output!D194/12-INT(Output!D194/12))*12,3)),1/8)=0,"",VLOOKUP(MROUND((Output!D194/12-INT(Output!D194/12))*12-INT((Output!D194/12-INT(Output!D194/12))*12),1/8),fract[],2,FALSE))&amp;"''",""),"")</f>
        <v/>
      </c>
      <c r="E195" s="9" t="str">
        <f>IF(ISNUMBER(Output!E194),IF(Output!E194&gt;=12,IFERROR(ROUND(INT(Output!E194)/12,0)&amp;"'-"&amp;INT(ROUND((Output!E194/12-INT(Output!E194/12))*12,2))&amp;" "&amp;IF(MROUND(ROUND((Output!E194/12-INT(Output!E194/12))*12,3)-INT(ROUND((Output!E194/12-INT(Output!E194/12))*12,3)),1/8)=0,"",VLOOKUP(MROUND((Output!E194/12-INT(Output!E194/12))*12-INT((Output!E194/12-INT(Output!E194/12))*12),1/8),fract[],2,FALSE))&amp;"''",""),IFERROR(INT(Output!E194)&amp;" "&amp;IF(MROUND((Output!E194-INT(Output!E194)),1/8)=0,"",VLOOKUP(MROUND((Output!E194-INT(Output!E194)),1/8),fract[],2,FALSE))&amp;"''","")),"")</f>
        <v/>
      </c>
      <c r="F195" s="8"/>
      <c r="G195" s="8"/>
      <c r="H195" s="9" t="str">
        <f t="shared" si="4"/>
        <v/>
      </c>
      <c r="I195" s="9" t="str">
        <f t="shared" si="5"/>
        <v/>
      </c>
      <c r="J195" s="12" t="str">
        <f>IF(ISNUMBER(Output!F194),Output!F194,"")</f>
        <v/>
      </c>
      <c r="K195" s="12" t="str">
        <f>IF(ISNUMBER(Output!G194),Output!G194,"")</f>
        <v/>
      </c>
    </row>
    <row r="196" spans="1:11" x14ac:dyDescent="0.25">
      <c r="A196" s="9" t="str">
        <f>IF(ISBLANK(Output!A195),"",Output!A195)</f>
        <v/>
      </c>
      <c r="B196" s="9" t="str">
        <f>IF(ISBLANK(Output!B195),"",Output!B195)</f>
        <v/>
      </c>
      <c r="C196" s="9" t="str">
        <f>IF(ISNUMBER(Output!C195),IF(Output!C195&gt;=12,IFERROR(ROUND(INT(Output!C195)/12,0)&amp;"'-"&amp;INT(ROUND((Output!C195/12-INT(Output!C195/12))*12,2))&amp;" "&amp;IF(MROUND(ROUND((Output!C195/12-INT(Output!C195/12))*12,3)-INT(ROUND((Output!C195/12-INT(Output!C195/12))*12,3)),1/8)=0,"",VLOOKUP(MROUND((Output!C195/12-INT(Output!C195/12))*12-INT((Output!C195/12-INT(Output!C195/12))*12),1/8),fract[],2,FALSE))&amp;"''",""),IFERROR(INT(Output!C195)&amp;" "&amp;IF(MROUND((Output!C195-INT(Output!C195)),1/8)=0,"",VLOOKUP(MROUND((Output!C195-INT(Output!C195)),1/8),fract[],2,FALSE))&amp;"''","")),"")</f>
        <v/>
      </c>
      <c r="D196" s="9" t="str">
        <f>IF(ISNUMBER(Output!D195),IFERROR(ROUND(INT(Output!D195/12),3)&amp;"'-"&amp;INT(ROUND((Output!D195/12-INT(Output!D195/12))*12,3))&amp;" "&amp;IF(MROUND(ROUND((Output!D195/12-INT(Output!D195/12))*12,3)-INT(ROUND((Output!D195/12-INT(Output!D195/12))*12,3)),1/8)=0,"",VLOOKUP(MROUND((Output!D195/12-INT(Output!D195/12))*12-INT((Output!D195/12-INT(Output!D195/12))*12),1/8),fract[],2,FALSE))&amp;"''",""),"")</f>
        <v/>
      </c>
      <c r="E196" s="9" t="str">
        <f>IF(ISNUMBER(Output!E195),IF(Output!E195&gt;=12,IFERROR(ROUND(INT(Output!E195)/12,0)&amp;"'-"&amp;INT(ROUND((Output!E195/12-INT(Output!E195/12))*12,2))&amp;" "&amp;IF(MROUND(ROUND((Output!E195/12-INT(Output!E195/12))*12,3)-INT(ROUND((Output!E195/12-INT(Output!E195/12))*12,3)),1/8)=0,"",VLOOKUP(MROUND((Output!E195/12-INT(Output!E195/12))*12-INT((Output!E195/12-INT(Output!E195/12))*12),1/8),fract[],2,FALSE))&amp;"''",""),IFERROR(INT(Output!E195)&amp;" "&amp;IF(MROUND((Output!E195-INT(Output!E195)),1/8)=0,"",VLOOKUP(MROUND((Output!E195-INT(Output!E195)),1/8),fract[],2,FALSE))&amp;"''","")),"")</f>
        <v/>
      </c>
      <c r="F196" s="8"/>
      <c r="G196" s="8"/>
      <c r="H196" s="9" t="str">
        <f t="shared" si="4"/>
        <v/>
      </c>
      <c r="I196" s="9" t="str">
        <f t="shared" si="5"/>
        <v/>
      </c>
      <c r="J196" s="12" t="str">
        <f>IF(ISNUMBER(Output!F195),Output!F195,"")</f>
        <v/>
      </c>
      <c r="K196" s="12" t="str">
        <f>IF(ISNUMBER(Output!G195),Output!G195,"")</f>
        <v/>
      </c>
    </row>
    <row r="197" spans="1:11" x14ac:dyDescent="0.25">
      <c r="A197" s="9" t="str">
        <f>IF(ISBLANK(Output!A196),"",Output!A196)</f>
        <v/>
      </c>
      <c r="B197" s="9" t="str">
        <f>IF(ISBLANK(Output!B196),"",Output!B196)</f>
        <v/>
      </c>
      <c r="C197" s="9" t="str">
        <f>IF(ISNUMBER(Output!C196),IF(Output!C196&gt;=12,IFERROR(ROUND(INT(Output!C196)/12,0)&amp;"'-"&amp;INT(ROUND((Output!C196/12-INT(Output!C196/12))*12,2))&amp;" "&amp;IF(MROUND(ROUND((Output!C196/12-INT(Output!C196/12))*12,3)-INT(ROUND((Output!C196/12-INT(Output!C196/12))*12,3)),1/8)=0,"",VLOOKUP(MROUND((Output!C196/12-INT(Output!C196/12))*12-INT((Output!C196/12-INT(Output!C196/12))*12),1/8),fract[],2,FALSE))&amp;"''",""),IFERROR(INT(Output!C196)&amp;" "&amp;IF(MROUND((Output!C196-INT(Output!C196)),1/8)=0,"",VLOOKUP(MROUND((Output!C196-INT(Output!C196)),1/8),fract[],2,FALSE))&amp;"''","")),"")</f>
        <v/>
      </c>
      <c r="D197" s="9" t="str">
        <f>IF(ISNUMBER(Output!D196),IFERROR(ROUND(INT(Output!D196/12),3)&amp;"'-"&amp;INT(ROUND((Output!D196/12-INT(Output!D196/12))*12,3))&amp;" "&amp;IF(MROUND(ROUND((Output!D196/12-INT(Output!D196/12))*12,3)-INT(ROUND((Output!D196/12-INT(Output!D196/12))*12,3)),1/8)=0,"",VLOOKUP(MROUND((Output!D196/12-INT(Output!D196/12))*12-INT((Output!D196/12-INT(Output!D196/12))*12),1/8),fract[],2,FALSE))&amp;"''",""),"")</f>
        <v/>
      </c>
      <c r="E197" s="9" t="str">
        <f>IF(ISNUMBER(Output!E196),IF(Output!E196&gt;=12,IFERROR(ROUND(INT(Output!E196)/12,0)&amp;"'-"&amp;INT(ROUND((Output!E196/12-INT(Output!E196/12))*12,2))&amp;" "&amp;IF(MROUND(ROUND((Output!E196/12-INT(Output!E196/12))*12,3)-INT(ROUND((Output!E196/12-INT(Output!E196/12))*12,3)),1/8)=0,"",VLOOKUP(MROUND((Output!E196/12-INT(Output!E196/12))*12-INT((Output!E196/12-INT(Output!E196/12))*12),1/8),fract[],2,FALSE))&amp;"''",""),IFERROR(INT(Output!E196)&amp;" "&amp;IF(MROUND((Output!E196-INT(Output!E196)),1/8)=0,"",VLOOKUP(MROUND((Output!E196-INT(Output!E196)),1/8),fract[],2,FALSE))&amp;"''","")),"")</f>
        <v/>
      </c>
      <c r="F197" s="8"/>
      <c r="G197" s="8"/>
      <c r="H197" s="9" t="str">
        <f t="shared" ref="H197:H260" si="6">A197</f>
        <v/>
      </c>
      <c r="I197" s="9" t="str">
        <f t="shared" ref="I197:I260" si="7">B197</f>
        <v/>
      </c>
      <c r="J197" s="12" t="str">
        <f>IF(ISNUMBER(Output!F196),Output!F196,"")</f>
        <v/>
      </c>
      <c r="K197" s="12" t="str">
        <f>IF(ISNUMBER(Output!G196),Output!G196,"")</f>
        <v/>
      </c>
    </row>
    <row r="198" spans="1:11" x14ac:dyDescent="0.25">
      <c r="A198" s="9" t="str">
        <f>IF(ISBLANK(Output!A197),"",Output!A197)</f>
        <v/>
      </c>
      <c r="B198" s="9" t="str">
        <f>IF(ISBLANK(Output!B197),"",Output!B197)</f>
        <v/>
      </c>
      <c r="C198" s="9" t="str">
        <f>IF(ISNUMBER(Output!C197),IF(Output!C197&gt;=12,IFERROR(ROUND(INT(Output!C197)/12,0)&amp;"'-"&amp;INT(ROUND((Output!C197/12-INT(Output!C197/12))*12,2))&amp;" "&amp;IF(MROUND(ROUND((Output!C197/12-INT(Output!C197/12))*12,3)-INT(ROUND((Output!C197/12-INT(Output!C197/12))*12,3)),1/8)=0,"",VLOOKUP(MROUND((Output!C197/12-INT(Output!C197/12))*12-INT((Output!C197/12-INT(Output!C197/12))*12),1/8),fract[],2,FALSE))&amp;"''",""),IFERROR(INT(Output!C197)&amp;" "&amp;IF(MROUND((Output!C197-INT(Output!C197)),1/8)=0,"",VLOOKUP(MROUND((Output!C197-INT(Output!C197)),1/8),fract[],2,FALSE))&amp;"''","")),"")</f>
        <v/>
      </c>
      <c r="D198" s="9" t="str">
        <f>IF(ISNUMBER(Output!D197),IFERROR(ROUND(INT(Output!D197/12),3)&amp;"'-"&amp;INT(ROUND((Output!D197/12-INT(Output!D197/12))*12,3))&amp;" "&amp;IF(MROUND(ROUND((Output!D197/12-INT(Output!D197/12))*12,3)-INT(ROUND((Output!D197/12-INT(Output!D197/12))*12,3)),1/8)=0,"",VLOOKUP(MROUND((Output!D197/12-INT(Output!D197/12))*12-INT((Output!D197/12-INT(Output!D197/12))*12),1/8),fract[],2,FALSE))&amp;"''",""),"")</f>
        <v/>
      </c>
      <c r="E198" s="9" t="str">
        <f>IF(ISNUMBER(Output!E197),IF(Output!E197&gt;=12,IFERROR(ROUND(INT(Output!E197)/12,0)&amp;"'-"&amp;INT(ROUND((Output!E197/12-INT(Output!E197/12))*12,2))&amp;" "&amp;IF(MROUND(ROUND((Output!E197/12-INT(Output!E197/12))*12,3)-INT(ROUND((Output!E197/12-INT(Output!E197/12))*12,3)),1/8)=0,"",VLOOKUP(MROUND((Output!E197/12-INT(Output!E197/12))*12-INT((Output!E197/12-INT(Output!E197/12))*12),1/8),fract[],2,FALSE))&amp;"''",""),IFERROR(INT(Output!E197)&amp;" "&amp;IF(MROUND((Output!E197-INT(Output!E197)),1/8)=0,"",VLOOKUP(MROUND((Output!E197-INT(Output!E197)),1/8),fract[],2,FALSE))&amp;"''","")),"")</f>
        <v/>
      </c>
      <c r="F198" s="8"/>
      <c r="G198" s="8"/>
      <c r="H198" s="9" t="str">
        <f t="shared" si="6"/>
        <v/>
      </c>
      <c r="I198" s="9" t="str">
        <f t="shared" si="7"/>
        <v/>
      </c>
      <c r="J198" s="12" t="str">
        <f>IF(ISNUMBER(Output!F197),Output!F197,"")</f>
        <v/>
      </c>
      <c r="K198" s="12" t="str">
        <f>IF(ISNUMBER(Output!G197),Output!G197,"")</f>
        <v/>
      </c>
    </row>
    <row r="199" spans="1:11" x14ac:dyDescent="0.25">
      <c r="A199" s="9" t="str">
        <f>IF(ISBLANK(Output!A198),"",Output!A198)</f>
        <v/>
      </c>
      <c r="B199" s="9" t="str">
        <f>IF(ISBLANK(Output!B198),"",Output!B198)</f>
        <v/>
      </c>
      <c r="C199" s="9" t="str">
        <f>IF(ISNUMBER(Output!C198),IF(Output!C198&gt;=12,IFERROR(ROUND(INT(Output!C198)/12,0)&amp;"'-"&amp;INT(ROUND((Output!C198/12-INT(Output!C198/12))*12,2))&amp;" "&amp;IF(MROUND(ROUND((Output!C198/12-INT(Output!C198/12))*12,3)-INT(ROUND((Output!C198/12-INT(Output!C198/12))*12,3)),1/8)=0,"",VLOOKUP(MROUND((Output!C198/12-INT(Output!C198/12))*12-INT((Output!C198/12-INT(Output!C198/12))*12),1/8),fract[],2,FALSE))&amp;"''",""),IFERROR(INT(Output!C198)&amp;" "&amp;IF(MROUND((Output!C198-INT(Output!C198)),1/8)=0,"",VLOOKUP(MROUND((Output!C198-INT(Output!C198)),1/8),fract[],2,FALSE))&amp;"''","")),"")</f>
        <v/>
      </c>
      <c r="D199" s="9" t="str">
        <f>IF(ISNUMBER(Output!D198),IFERROR(ROUND(INT(Output!D198/12),3)&amp;"'-"&amp;INT(ROUND((Output!D198/12-INT(Output!D198/12))*12,3))&amp;" "&amp;IF(MROUND(ROUND((Output!D198/12-INT(Output!D198/12))*12,3)-INT(ROUND((Output!D198/12-INT(Output!D198/12))*12,3)),1/8)=0,"",VLOOKUP(MROUND((Output!D198/12-INT(Output!D198/12))*12-INT((Output!D198/12-INT(Output!D198/12))*12),1/8),fract[],2,FALSE))&amp;"''",""),"")</f>
        <v/>
      </c>
      <c r="E199" s="9" t="str">
        <f>IF(ISNUMBER(Output!E198),IF(Output!E198&gt;=12,IFERROR(ROUND(INT(Output!E198)/12,0)&amp;"'-"&amp;INT(ROUND((Output!E198/12-INT(Output!E198/12))*12,2))&amp;" "&amp;IF(MROUND(ROUND((Output!E198/12-INT(Output!E198/12))*12,3)-INT(ROUND((Output!E198/12-INT(Output!E198/12))*12,3)),1/8)=0,"",VLOOKUP(MROUND((Output!E198/12-INT(Output!E198/12))*12-INT((Output!E198/12-INT(Output!E198/12))*12),1/8),fract[],2,FALSE))&amp;"''",""),IFERROR(INT(Output!E198)&amp;" "&amp;IF(MROUND((Output!E198-INT(Output!E198)),1/8)=0,"",VLOOKUP(MROUND((Output!E198-INT(Output!E198)),1/8),fract[],2,FALSE))&amp;"''","")),"")</f>
        <v/>
      </c>
      <c r="F199" s="8"/>
      <c r="G199" s="8"/>
      <c r="H199" s="9" t="str">
        <f t="shared" si="6"/>
        <v/>
      </c>
      <c r="I199" s="9" t="str">
        <f t="shared" si="7"/>
        <v/>
      </c>
      <c r="J199" s="12" t="str">
        <f>IF(ISNUMBER(Output!F198),Output!F198,"")</f>
        <v/>
      </c>
      <c r="K199" s="12" t="str">
        <f>IF(ISNUMBER(Output!G198),Output!G198,"")</f>
        <v/>
      </c>
    </row>
    <row r="200" spans="1:11" x14ac:dyDescent="0.25">
      <c r="A200" s="9" t="str">
        <f>IF(ISBLANK(Output!A199),"",Output!A199)</f>
        <v/>
      </c>
      <c r="B200" s="9" t="str">
        <f>IF(ISBLANK(Output!B199),"",Output!B199)</f>
        <v/>
      </c>
      <c r="C200" s="9" t="str">
        <f>IF(ISNUMBER(Output!C199),IF(Output!C199&gt;=12,IFERROR(ROUND(INT(Output!C199)/12,0)&amp;"'-"&amp;INT(ROUND((Output!C199/12-INT(Output!C199/12))*12,2))&amp;" "&amp;IF(MROUND(ROUND((Output!C199/12-INT(Output!C199/12))*12,3)-INT(ROUND((Output!C199/12-INT(Output!C199/12))*12,3)),1/8)=0,"",VLOOKUP(MROUND((Output!C199/12-INT(Output!C199/12))*12-INT((Output!C199/12-INT(Output!C199/12))*12),1/8),fract[],2,FALSE))&amp;"''",""),IFERROR(INT(Output!C199)&amp;" "&amp;IF(MROUND((Output!C199-INT(Output!C199)),1/8)=0,"",VLOOKUP(MROUND((Output!C199-INT(Output!C199)),1/8),fract[],2,FALSE))&amp;"''","")),"")</f>
        <v/>
      </c>
      <c r="D200" s="9" t="str">
        <f>IF(ISNUMBER(Output!D199),IFERROR(ROUND(INT(Output!D199/12),3)&amp;"'-"&amp;INT(ROUND((Output!D199/12-INT(Output!D199/12))*12,3))&amp;" "&amp;IF(MROUND(ROUND((Output!D199/12-INT(Output!D199/12))*12,3)-INT(ROUND((Output!D199/12-INT(Output!D199/12))*12,3)),1/8)=0,"",VLOOKUP(MROUND((Output!D199/12-INT(Output!D199/12))*12-INT((Output!D199/12-INT(Output!D199/12))*12),1/8),fract[],2,FALSE))&amp;"''",""),"")</f>
        <v/>
      </c>
      <c r="E200" s="9" t="str">
        <f>IF(ISNUMBER(Output!E199),IF(Output!E199&gt;=12,IFERROR(ROUND(INT(Output!E199)/12,0)&amp;"'-"&amp;INT(ROUND((Output!E199/12-INT(Output!E199/12))*12,2))&amp;" "&amp;IF(MROUND(ROUND((Output!E199/12-INT(Output!E199/12))*12,3)-INT(ROUND((Output!E199/12-INT(Output!E199/12))*12,3)),1/8)=0,"",VLOOKUP(MROUND((Output!E199/12-INT(Output!E199/12))*12-INT((Output!E199/12-INT(Output!E199/12))*12),1/8),fract[],2,FALSE))&amp;"''",""),IFERROR(INT(Output!E199)&amp;" "&amp;IF(MROUND((Output!E199-INT(Output!E199)),1/8)=0,"",VLOOKUP(MROUND((Output!E199-INT(Output!E199)),1/8),fract[],2,FALSE))&amp;"''","")),"")</f>
        <v/>
      </c>
      <c r="F200" s="8"/>
      <c r="G200" s="8"/>
      <c r="H200" s="9" t="str">
        <f t="shared" si="6"/>
        <v/>
      </c>
      <c r="I200" s="9" t="str">
        <f t="shared" si="7"/>
        <v/>
      </c>
      <c r="J200" s="12" t="str">
        <f>IF(ISNUMBER(Output!F199),Output!F199,"")</f>
        <v/>
      </c>
      <c r="K200" s="12" t="str">
        <f>IF(ISNUMBER(Output!G199),Output!G199,"")</f>
        <v/>
      </c>
    </row>
    <row r="201" spans="1:11" x14ac:dyDescent="0.25">
      <c r="A201" s="9" t="str">
        <f>IF(ISBLANK(Output!A200),"",Output!A200)</f>
        <v/>
      </c>
      <c r="B201" s="9" t="str">
        <f>IF(ISBLANK(Output!B200),"",Output!B200)</f>
        <v/>
      </c>
      <c r="C201" s="9" t="str">
        <f>IF(ISNUMBER(Output!C200),IF(Output!C200&gt;=12,IFERROR(ROUND(INT(Output!C200)/12,0)&amp;"'-"&amp;INT(ROUND((Output!C200/12-INT(Output!C200/12))*12,2))&amp;" "&amp;IF(MROUND(ROUND((Output!C200/12-INT(Output!C200/12))*12,3)-INT(ROUND((Output!C200/12-INT(Output!C200/12))*12,3)),1/8)=0,"",VLOOKUP(MROUND((Output!C200/12-INT(Output!C200/12))*12-INT((Output!C200/12-INT(Output!C200/12))*12),1/8),fract[],2,FALSE))&amp;"''",""),IFERROR(INT(Output!C200)&amp;" "&amp;IF(MROUND((Output!C200-INT(Output!C200)),1/8)=0,"",VLOOKUP(MROUND((Output!C200-INT(Output!C200)),1/8),fract[],2,FALSE))&amp;"''","")),"")</f>
        <v/>
      </c>
      <c r="D201" s="9" t="str">
        <f>IF(ISNUMBER(Output!D200),IFERROR(ROUND(INT(Output!D200/12),3)&amp;"'-"&amp;INT(ROUND((Output!D200/12-INT(Output!D200/12))*12,3))&amp;" "&amp;IF(MROUND(ROUND((Output!D200/12-INT(Output!D200/12))*12,3)-INT(ROUND((Output!D200/12-INT(Output!D200/12))*12,3)),1/8)=0,"",VLOOKUP(MROUND((Output!D200/12-INT(Output!D200/12))*12-INT((Output!D200/12-INT(Output!D200/12))*12),1/8),fract[],2,FALSE))&amp;"''",""),"")</f>
        <v/>
      </c>
      <c r="E201" s="9" t="str">
        <f>IF(ISNUMBER(Output!E200),IF(Output!E200&gt;=12,IFERROR(ROUND(INT(Output!E200)/12,0)&amp;"'-"&amp;INT(ROUND((Output!E200/12-INT(Output!E200/12))*12,2))&amp;" "&amp;IF(MROUND(ROUND((Output!E200/12-INT(Output!E200/12))*12,3)-INT(ROUND((Output!E200/12-INT(Output!E200/12))*12,3)),1/8)=0,"",VLOOKUP(MROUND((Output!E200/12-INT(Output!E200/12))*12-INT((Output!E200/12-INT(Output!E200/12))*12),1/8),fract[],2,FALSE))&amp;"''",""),IFERROR(INT(Output!E200)&amp;" "&amp;IF(MROUND((Output!E200-INT(Output!E200)),1/8)=0,"",VLOOKUP(MROUND((Output!E200-INT(Output!E200)),1/8),fract[],2,FALSE))&amp;"''","")),"")</f>
        <v/>
      </c>
      <c r="F201" s="8"/>
      <c r="G201" s="8"/>
      <c r="H201" s="9" t="str">
        <f t="shared" si="6"/>
        <v/>
      </c>
      <c r="I201" s="9" t="str">
        <f t="shared" si="7"/>
        <v/>
      </c>
      <c r="J201" s="12" t="str">
        <f>IF(ISNUMBER(Output!F200),Output!F200,"")</f>
        <v/>
      </c>
      <c r="K201" s="12" t="str">
        <f>IF(ISNUMBER(Output!G200),Output!G200,"")</f>
        <v/>
      </c>
    </row>
    <row r="202" spans="1:11" x14ac:dyDescent="0.25">
      <c r="A202" s="9" t="str">
        <f>IF(ISBLANK(Output!A201),"",Output!A201)</f>
        <v/>
      </c>
      <c r="B202" s="9" t="str">
        <f>IF(ISBLANK(Output!B201),"",Output!B201)</f>
        <v/>
      </c>
      <c r="C202" s="9" t="str">
        <f>IF(ISNUMBER(Output!C201),IF(Output!C201&gt;=12,IFERROR(ROUND(INT(Output!C201)/12,0)&amp;"'-"&amp;INT(ROUND((Output!C201/12-INT(Output!C201/12))*12,2))&amp;" "&amp;IF(MROUND(ROUND((Output!C201/12-INT(Output!C201/12))*12,3)-INT(ROUND((Output!C201/12-INT(Output!C201/12))*12,3)),1/8)=0,"",VLOOKUP(MROUND((Output!C201/12-INT(Output!C201/12))*12-INT((Output!C201/12-INT(Output!C201/12))*12),1/8),fract[],2,FALSE))&amp;"''",""),IFERROR(INT(Output!C201)&amp;" "&amp;IF(MROUND((Output!C201-INT(Output!C201)),1/8)=0,"",VLOOKUP(MROUND((Output!C201-INT(Output!C201)),1/8),fract[],2,FALSE))&amp;"''","")),"")</f>
        <v/>
      </c>
      <c r="D202" s="9" t="str">
        <f>IF(ISNUMBER(Output!D201),IFERROR(ROUND(INT(Output!D201/12),3)&amp;"'-"&amp;INT(ROUND((Output!D201/12-INT(Output!D201/12))*12,3))&amp;" "&amp;IF(MROUND(ROUND((Output!D201/12-INT(Output!D201/12))*12,3)-INT(ROUND((Output!D201/12-INT(Output!D201/12))*12,3)),1/8)=0,"",VLOOKUP(MROUND((Output!D201/12-INT(Output!D201/12))*12-INT((Output!D201/12-INT(Output!D201/12))*12),1/8),fract[],2,FALSE))&amp;"''",""),"")</f>
        <v/>
      </c>
      <c r="E202" s="9" t="str">
        <f>IF(ISNUMBER(Output!E201),IF(Output!E201&gt;=12,IFERROR(ROUND(INT(Output!E201)/12,0)&amp;"'-"&amp;INT(ROUND((Output!E201/12-INT(Output!E201/12))*12,2))&amp;" "&amp;IF(MROUND(ROUND((Output!E201/12-INT(Output!E201/12))*12,3)-INT(ROUND((Output!E201/12-INT(Output!E201/12))*12,3)),1/8)=0,"",VLOOKUP(MROUND((Output!E201/12-INT(Output!E201/12))*12-INT((Output!E201/12-INT(Output!E201/12))*12),1/8),fract[],2,FALSE))&amp;"''",""),IFERROR(INT(Output!E201)&amp;" "&amp;IF(MROUND((Output!E201-INT(Output!E201)),1/8)=0,"",VLOOKUP(MROUND((Output!E201-INT(Output!E201)),1/8),fract[],2,FALSE))&amp;"''","")),"")</f>
        <v/>
      </c>
      <c r="F202" s="8"/>
      <c r="G202" s="8"/>
      <c r="H202" s="9" t="str">
        <f t="shared" si="6"/>
        <v/>
      </c>
      <c r="I202" s="9" t="str">
        <f t="shared" si="7"/>
        <v/>
      </c>
      <c r="J202" s="12" t="str">
        <f>IF(ISNUMBER(Output!F201),Output!F201,"")</f>
        <v/>
      </c>
      <c r="K202" s="12" t="str">
        <f>IF(ISNUMBER(Output!G201),Output!G201,"")</f>
        <v/>
      </c>
    </row>
    <row r="203" spans="1:11" x14ac:dyDescent="0.25">
      <c r="A203" s="9" t="str">
        <f>IF(ISBLANK(Output!A202),"",Output!A202)</f>
        <v/>
      </c>
      <c r="B203" s="9" t="str">
        <f>IF(ISBLANK(Output!B202),"",Output!B202)</f>
        <v/>
      </c>
      <c r="C203" s="9" t="str">
        <f>IF(ISNUMBER(Output!C202),IF(Output!C202&gt;=12,IFERROR(ROUND(INT(Output!C202)/12,0)&amp;"'-"&amp;INT(ROUND((Output!C202/12-INT(Output!C202/12))*12,2))&amp;" "&amp;IF(MROUND(ROUND((Output!C202/12-INT(Output!C202/12))*12,3)-INT(ROUND((Output!C202/12-INT(Output!C202/12))*12,3)),1/8)=0,"",VLOOKUP(MROUND((Output!C202/12-INT(Output!C202/12))*12-INT((Output!C202/12-INT(Output!C202/12))*12),1/8),fract[],2,FALSE))&amp;"''",""),IFERROR(INT(Output!C202)&amp;" "&amp;IF(MROUND((Output!C202-INT(Output!C202)),1/8)=0,"",VLOOKUP(MROUND((Output!C202-INT(Output!C202)),1/8),fract[],2,FALSE))&amp;"''","")),"")</f>
        <v/>
      </c>
      <c r="D203" s="9" t="str">
        <f>IF(ISNUMBER(Output!D202),IFERROR(ROUND(INT(Output!D202/12),3)&amp;"'-"&amp;INT(ROUND((Output!D202/12-INT(Output!D202/12))*12,3))&amp;" "&amp;IF(MROUND(ROUND((Output!D202/12-INT(Output!D202/12))*12,3)-INT(ROUND((Output!D202/12-INT(Output!D202/12))*12,3)),1/8)=0,"",VLOOKUP(MROUND((Output!D202/12-INT(Output!D202/12))*12-INT((Output!D202/12-INT(Output!D202/12))*12),1/8),fract[],2,FALSE))&amp;"''",""),"")</f>
        <v/>
      </c>
      <c r="E203" s="9" t="str">
        <f>IF(ISNUMBER(Output!E202),IF(Output!E202&gt;=12,IFERROR(ROUND(INT(Output!E202)/12,0)&amp;"'-"&amp;INT(ROUND((Output!E202/12-INT(Output!E202/12))*12,2))&amp;" "&amp;IF(MROUND(ROUND((Output!E202/12-INT(Output!E202/12))*12,3)-INT(ROUND((Output!E202/12-INT(Output!E202/12))*12,3)),1/8)=0,"",VLOOKUP(MROUND((Output!E202/12-INT(Output!E202/12))*12-INT((Output!E202/12-INT(Output!E202/12))*12),1/8),fract[],2,FALSE))&amp;"''",""),IFERROR(INT(Output!E202)&amp;" "&amp;IF(MROUND((Output!E202-INT(Output!E202)),1/8)=0,"",VLOOKUP(MROUND((Output!E202-INT(Output!E202)),1/8),fract[],2,FALSE))&amp;"''","")),"")</f>
        <v/>
      </c>
      <c r="F203" s="8"/>
      <c r="G203" s="8"/>
      <c r="H203" s="9" t="str">
        <f t="shared" si="6"/>
        <v/>
      </c>
      <c r="I203" s="9" t="str">
        <f t="shared" si="7"/>
        <v/>
      </c>
      <c r="J203" s="12" t="str">
        <f>IF(ISNUMBER(Output!F202),Output!F202,"")</f>
        <v/>
      </c>
      <c r="K203" s="12" t="str">
        <f>IF(ISNUMBER(Output!G202),Output!G202,"")</f>
        <v/>
      </c>
    </row>
    <row r="204" spans="1:11" x14ac:dyDescent="0.25">
      <c r="A204" s="9" t="str">
        <f>IF(ISBLANK(Output!A203),"",Output!A203)</f>
        <v/>
      </c>
      <c r="B204" s="9" t="str">
        <f>IF(ISBLANK(Output!B203),"",Output!B203)</f>
        <v/>
      </c>
      <c r="C204" s="9" t="str">
        <f>IF(ISNUMBER(Output!C203),IF(Output!C203&gt;=12,IFERROR(ROUND(INT(Output!C203)/12,0)&amp;"'-"&amp;INT(ROUND((Output!C203/12-INT(Output!C203/12))*12,2))&amp;" "&amp;IF(MROUND(ROUND((Output!C203/12-INT(Output!C203/12))*12,3)-INT(ROUND((Output!C203/12-INT(Output!C203/12))*12,3)),1/8)=0,"",VLOOKUP(MROUND((Output!C203/12-INT(Output!C203/12))*12-INT((Output!C203/12-INT(Output!C203/12))*12),1/8),fract[],2,FALSE))&amp;"''",""),IFERROR(INT(Output!C203)&amp;" "&amp;IF(MROUND((Output!C203-INT(Output!C203)),1/8)=0,"",VLOOKUP(MROUND((Output!C203-INT(Output!C203)),1/8),fract[],2,FALSE))&amp;"''","")),"")</f>
        <v/>
      </c>
      <c r="D204" s="9" t="str">
        <f>IF(ISNUMBER(Output!D203),IFERROR(ROUND(INT(Output!D203/12),3)&amp;"'-"&amp;INT(ROUND((Output!D203/12-INT(Output!D203/12))*12,3))&amp;" "&amp;IF(MROUND(ROUND((Output!D203/12-INT(Output!D203/12))*12,3)-INT(ROUND((Output!D203/12-INT(Output!D203/12))*12,3)),1/8)=0,"",VLOOKUP(MROUND((Output!D203/12-INT(Output!D203/12))*12-INT((Output!D203/12-INT(Output!D203/12))*12),1/8),fract[],2,FALSE))&amp;"''",""),"")</f>
        <v/>
      </c>
      <c r="E204" s="9" t="str">
        <f>IF(ISNUMBER(Output!E203),IF(Output!E203&gt;=12,IFERROR(ROUND(INT(Output!E203)/12,0)&amp;"'-"&amp;INT(ROUND((Output!E203/12-INT(Output!E203/12))*12,2))&amp;" "&amp;IF(MROUND(ROUND((Output!E203/12-INT(Output!E203/12))*12,3)-INT(ROUND((Output!E203/12-INT(Output!E203/12))*12,3)),1/8)=0,"",VLOOKUP(MROUND((Output!E203/12-INT(Output!E203/12))*12-INT((Output!E203/12-INT(Output!E203/12))*12),1/8),fract[],2,FALSE))&amp;"''",""),IFERROR(INT(Output!E203)&amp;" "&amp;IF(MROUND((Output!E203-INT(Output!E203)),1/8)=0,"",VLOOKUP(MROUND((Output!E203-INT(Output!E203)),1/8),fract[],2,FALSE))&amp;"''","")),"")</f>
        <v/>
      </c>
      <c r="F204" s="8"/>
      <c r="G204" s="8"/>
      <c r="H204" s="9" t="str">
        <f t="shared" si="6"/>
        <v/>
      </c>
      <c r="I204" s="9" t="str">
        <f t="shared" si="7"/>
        <v/>
      </c>
      <c r="J204" s="12" t="str">
        <f>IF(ISNUMBER(Output!F203),Output!F203,"")</f>
        <v/>
      </c>
      <c r="K204" s="12" t="str">
        <f>IF(ISNUMBER(Output!G203),Output!G203,"")</f>
        <v/>
      </c>
    </row>
    <row r="205" spans="1:11" x14ac:dyDescent="0.25">
      <c r="A205" s="9" t="str">
        <f>IF(ISBLANK(Output!A204),"",Output!A204)</f>
        <v/>
      </c>
      <c r="B205" s="9" t="str">
        <f>IF(ISBLANK(Output!B204),"",Output!B204)</f>
        <v/>
      </c>
      <c r="C205" s="9" t="str">
        <f>IF(ISNUMBER(Output!C204),IF(Output!C204&gt;=12,IFERROR(ROUND(INT(Output!C204)/12,0)&amp;"'-"&amp;INT(ROUND((Output!C204/12-INT(Output!C204/12))*12,2))&amp;" "&amp;IF(MROUND(ROUND((Output!C204/12-INT(Output!C204/12))*12,3)-INT(ROUND((Output!C204/12-INT(Output!C204/12))*12,3)),1/8)=0,"",VLOOKUP(MROUND((Output!C204/12-INT(Output!C204/12))*12-INT((Output!C204/12-INT(Output!C204/12))*12),1/8),fract[],2,FALSE))&amp;"''",""),IFERROR(INT(Output!C204)&amp;" "&amp;IF(MROUND((Output!C204-INT(Output!C204)),1/8)=0,"",VLOOKUP(MROUND((Output!C204-INT(Output!C204)),1/8),fract[],2,FALSE))&amp;"''","")),"")</f>
        <v/>
      </c>
      <c r="D205" s="9" t="str">
        <f>IF(ISNUMBER(Output!D204),IFERROR(ROUND(INT(Output!D204/12),3)&amp;"'-"&amp;INT(ROUND((Output!D204/12-INT(Output!D204/12))*12,3))&amp;" "&amp;IF(MROUND(ROUND((Output!D204/12-INT(Output!D204/12))*12,3)-INT(ROUND((Output!D204/12-INT(Output!D204/12))*12,3)),1/8)=0,"",VLOOKUP(MROUND((Output!D204/12-INT(Output!D204/12))*12-INT((Output!D204/12-INT(Output!D204/12))*12),1/8),fract[],2,FALSE))&amp;"''",""),"")</f>
        <v/>
      </c>
      <c r="E205" s="9" t="str">
        <f>IF(ISNUMBER(Output!E204),IF(Output!E204&gt;=12,IFERROR(ROUND(INT(Output!E204)/12,0)&amp;"'-"&amp;INT(ROUND((Output!E204/12-INT(Output!E204/12))*12,2))&amp;" "&amp;IF(MROUND(ROUND((Output!E204/12-INT(Output!E204/12))*12,3)-INT(ROUND((Output!E204/12-INT(Output!E204/12))*12,3)),1/8)=0,"",VLOOKUP(MROUND((Output!E204/12-INT(Output!E204/12))*12-INT((Output!E204/12-INT(Output!E204/12))*12),1/8),fract[],2,FALSE))&amp;"''",""),IFERROR(INT(Output!E204)&amp;" "&amp;IF(MROUND((Output!E204-INT(Output!E204)),1/8)=0,"",VLOOKUP(MROUND((Output!E204-INT(Output!E204)),1/8),fract[],2,FALSE))&amp;"''","")),"")</f>
        <v/>
      </c>
      <c r="F205" s="8"/>
      <c r="G205" s="8"/>
      <c r="H205" s="9" t="str">
        <f t="shared" si="6"/>
        <v/>
      </c>
      <c r="I205" s="9" t="str">
        <f t="shared" si="7"/>
        <v/>
      </c>
      <c r="J205" s="12" t="str">
        <f>IF(ISNUMBER(Output!F204),Output!F204,"")</f>
        <v/>
      </c>
      <c r="K205" s="12" t="str">
        <f>IF(ISNUMBER(Output!G204),Output!G204,"")</f>
        <v/>
      </c>
    </row>
    <row r="206" spans="1:11" x14ac:dyDescent="0.25">
      <c r="A206" s="9" t="str">
        <f>IF(ISBLANK(Output!A205),"",Output!A205)</f>
        <v/>
      </c>
      <c r="B206" s="9" t="str">
        <f>IF(ISBLANK(Output!B205),"",Output!B205)</f>
        <v/>
      </c>
      <c r="C206" s="9" t="str">
        <f>IF(ISNUMBER(Output!C205),IF(Output!C205&gt;=12,IFERROR(ROUND(INT(Output!C205)/12,0)&amp;"'-"&amp;INT(ROUND((Output!C205/12-INT(Output!C205/12))*12,2))&amp;" "&amp;IF(MROUND(ROUND((Output!C205/12-INT(Output!C205/12))*12,3)-INT(ROUND((Output!C205/12-INT(Output!C205/12))*12,3)),1/8)=0,"",VLOOKUP(MROUND((Output!C205/12-INT(Output!C205/12))*12-INT((Output!C205/12-INT(Output!C205/12))*12),1/8),fract[],2,FALSE))&amp;"''",""),IFERROR(INT(Output!C205)&amp;" "&amp;IF(MROUND((Output!C205-INT(Output!C205)),1/8)=0,"",VLOOKUP(MROUND((Output!C205-INT(Output!C205)),1/8),fract[],2,FALSE))&amp;"''","")),"")</f>
        <v/>
      </c>
      <c r="D206" s="9" t="str">
        <f>IF(ISNUMBER(Output!D205),IFERROR(ROUND(INT(Output!D205/12),3)&amp;"'-"&amp;INT(ROUND((Output!D205/12-INT(Output!D205/12))*12,3))&amp;" "&amp;IF(MROUND(ROUND((Output!D205/12-INT(Output!D205/12))*12,3)-INT(ROUND((Output!D205/12-INT(Output!D205/12))*12,3)),1/8)=0,"",VLOOKUP(MROUND((Output!D205/12-INT(Output!D205/12))*12-INT((Output!D205/12-INT(Output!D205/12))*12),1/8),fract[],2,FALSE))&amp;"''",""),"")</f>
        <v/>
      </c>
      <c r="E206" s="9" t="str">
        <f>IF(ISNUMBER(Output!E205),IF(Output!E205&gt;=12,IFERROR(ROUND(INT(Output!E205)/12,0)&amp;"'-"&amp;INT(ROUND((Output!E205/12-INT(Output!E205/12))*12,2))&amp;" "&amp;IF(MROUND(ROUND((Output!E205/12-INT(Output!E205/12))*12,3)-INT(ROUND((Output!E205/12-INT(Output!E205/12))*12,3)),1/8)=0,"",VLOOKUP(MROUND((Output!E205/12-INT(Output!E205/12))*12-INT((Output!E205/12-INT(Output!E205/12))*12),1/8),fract[],2,FALSE))&amp;"''",""),IFERROR(INT(Output!E205)&amp;" "&amp;IF(MROUND((Output!E205-INT(Output!E205)),1/8)=0,"",VLOOKUP(MROUND((Output!E205-INT(Output!E205)),1/8),fract[],2,FALSE))&amp;"''","")),"")</f>
        <v/>
      </c>
      <c r="F206" s="8"/>
      <c r="G206" s="8"/>
      <c r="H206" s="9" t="str">
        <f t="shared" si="6"/>
        <v/>
      </c>
      <c r="I206" s="9" t="str">
        <f t="shared" si="7"/>
        <v/>
      </c>
      <c r="J206" s="12" t="str">
        <f>IF(ISNUMBER(Output!F205),Output!F205,"")</f>
        <v/>
      </c>
      <c r="K206" s="12" t="str">
        <f>IF(ISNUMBER(Output!G205),Output!G205,"")</f>
        <v/>
      </c>
    </row>
    <row r="207" spans="1:11" x14ac:dyDescent="0.25">
      <c r="A207" s="9" t="str">
        <f>IF(ISBLANK(Output!A206),"",Output!A206)</f>
        <v/>
      </c>
      <c r="B207" s="9" t="str">
        <f>IF(ISBLANK(Output!B206),"",Output!B206)</f>
        <v/>
      </c>
      <c r="C207" s="9" t="str">
        <f>IF(ISNUMBER(Output!C206),IF(Output!C206&gt;=12,IFERROR(ROUND(INT(Output!C206)/12,0)&amp;"'-"&amp;INT(ROUND((Output!C206/12-INT(Output!C206/12))*12,2))&amp;" "&amp;IF(MROUND(ROUND((Output!C206/12-INT(Output!C206/12))*12,3)-INT(ROUND((Output!C206/12-INT(Output!C206/12))*12,3)),1/8)=0,"",VLOOKUP(MROUND((Output!C206/12-INT(Output!C206/12))*12-INT((Output!C206/12-INT(Output!C206/12))*12),1/8),fract[],2,FALSE))&amp;"''",""),IFERROR(INT(Output!C206)&amp;" "&amp;IF(MROUND((Output!C206-INT(Output!C206)),1/8)=0,"",VLOOKUP(MROUND((Output!C206-INT(Output!C206)),1/8),fract[],2,FALSE))&amp;"''","")),"")</f>
        <v/>
      </c>
      <c r="D207" s="9" t="str">
        <f>IF(ISNUMBER(Output!D206),IFERROR(ROUND(INT(Output!D206/12),3)&amp;"'-"&amp;INT(ROUND((Output!D206/12-INT(Output!D206/12))*12,3))&amp;" "&amp;IF(MROUND(ROUND((Output!D206/12-INT(Output!D206/12))*12,3)-INT(ROUND((Output!D206/12-INT(Output!D206/12))*12,3)),1/8)=0,"",VLOOKUP(MROUND((Output!D206/12-INT(Output!D206/12))*12-INT((Output!D206/12-INT(Output!D206/12))*12),1/8),fract[],2,FALSE))&amp;"''",""),"")</f>
        <v/>
      </c>
      <c r="E207" s="9" t="str">
        <f>IF(ISNUMBER(Output!E206),IF(Output!E206&gt;=12,IFERROR(ROUND(INT(Output!E206)/12,0)&amp;"'-"&amp;INT(ROUND((Output!E206/12-INT(Output!E206/12))*12,2))&amp;" "&amp;IF(MROUND(ROUND((Output!E206/12-INT(Output!E206/12))*12,3)-INT(ROUND((Output!E206/12-INT(Output!E206/12))*12,3)),1/8)=0,"",VLOOKUP(MROUND((Output!E206/12-INT(Output!E206/12))*12-INT((Output!E206/12-INT(Output!E206/12))*12),1/8),fract[],2,FALSE))&amp;"''",""),IFERROR(INT(Output!E206)&amp;" "&amp;IF(MROUND((Output!E206-INT(Output!E206)),1/8)=0,"",VLOOKUP(MROUND((Output!E206-INT(Output!E206)),1/8),fract[],2,FALSE))&amp;"''","")),"")</f>
        <v/>
      </c>
      <c r="F207" s="8"/>
      <c r="G207" s="8"/>
      <c r="H207" s="9" t="str">
        <f t="shared" si="6"/>
        <v/>
      </c>
      <c r="I207" s="9" t="str">
        <f t="shared" si="7"/>
        <v/>
      </c>
      <c r="J207" s="12" t="str">
        <f>IF(ISNUMBER(Output!F206),Output!F206,"")</f>
        <v/>
      </c>
      <c r="K207" s="12" t="str">
        <f>IF(ISNUMBER(Output!G206),Output!G206,"")</f>
        <v/>
      </c>
    </row>
    <row r="208" spans="1:11" x14ac:dyDescent="0.25">
      <c r="A208" s="9" t="str">
        <f>IF(ISBLANK(Output!A207),"",Output!A207)</f>
        <v/>
      </c>
      <c r="B208" s="9" t="str">
        <f>IF(ISBLANK(Output!B207),"",Output!B207)</f>
        <v/>
      </c>
      <c r="C208" s="9" t="str">
        <f>IF(ISNUMBER(Output!C207),IF(Output!C207&gt;=12,IFERROR(ROUND(INT(Output!C207)/12,0)&amp;"'-"&amp;INT(ROUND((Output!C207/12-INT(Output!C207/12))*12,2))&amp;" "&amp;IF(MROUND(ROUND((Output!C207/12-INT(Output!C207/12))*12,3)-INT(ROUND((Output!C207/12-INT(Output!C207/12))*12,3)),1/8)=0,"",VLOOKUP(MROUND((Output!C207/12-INT(Output!C207/12))*12-INT((Output!C207/12-INT(Output!C207/12))*12),1/8),fract[],2,FALSE))&amp;"''",""),IFERROR(INT(Output!C207)&amp;" "&amp;IF(MROUND((Output!C207-INT(Output!C207)),1/8)=0,"",VLOOKUP(MROUND((Output!C207-INT(Output!C207)),1/8),fract[],2,FALSE))&amp;"''","")),"")</f>
        <v/>
      </c>
      <c r="D208" s="9" t="str">
        <f>IF(ISNUMBER(Output!D207),IFERROR(ROUND(INT(Output!D207/12),3)&amp;"'-"&amp;INT(ROUND((Output!D207/12-INT(Output!D207/12))*12,3))&amp;" "&amp;IF(MROUND(ROUND((Output!D207/12-INT(Output!D207/12))*12,3)-INT(ROUND((Output!D207/12-INT(Output!D207/12))*12,3)),1/8)=0,"",VLOOKUP(MROUND((Output!D207/12-INT(Output!D207/12))*12-INT((Output!D207/12-INT(Output!D207/12))*12),1/8),fract[],2,FALSE))&amp;"''",""),"")</f>
        <v/>
      </c>
      <c r="E208" s="9" t="str">
        <f>IF(ISNUMBER(Output!E207),IF(Output!E207&gt;=12,IFERROR(ROUND(INT(Output!E207)/12,0)&amp;"'-"&amp;INT(ROUND((Output!E207/12-INT(Output!E207/12))*12,2))&amp;" "&amp;IF(MROUND(ROUND((Output!E207/12-INT(Output!E207/12))*12,3)-INT(ROUND((Output!E207/12-INT(Output!E207/12))*12,3)),1/8)=0,"",VLOOKUP(MROUND((Output!E207/12-INT(Output!E207/12))*12-INT((Output!E207/12-INT(Output!E207/12))*12),1/8),fract[],2,FALSE))&amp;"''",""),IFERROR(INT(Output!E207)&amp;" "&amp;IF(MROUND((Output!E207-INT(Output!E207)),1/8)=0,"",VLOOKUP(MROUND((Output!E207-INT(Output!E207)),1/8),fract[],2,FALSE))&amp;"''","")),"")</f>
        <v/>
      </c>
      <c r="F208" s="8"/>
      <c r="G208" s="8"/>
      <c r="H208" s="9" t="str">
        <f t="shared" si="6"/>
        <v/>
      </c>
      <c r="I208" s="9" t="str">
        <f t="shared" si="7"/>
        <v/>
      </c>
      <c r="J208" s="12" t="str">
        <f>IF(ISNUMBER(Output!F207),Output!F207,"")</f>
        <v/>
      </c>
      <c r="K208" s="12" t="str">
        <f>IF(ISNUMBER(Output!G207),Output!G207,"")</f>
        <v/>
      </c>
    </row>
    <row r="209" spans="1:11" x14ac:dyDescent="0.25">
      <c r="A209" s="9" t="str">
        <f>IF(ISBLANK(Output!A208),"",Output!A208)</f>
        <v/>
      </c>
      <c r="B209" s="9" t="str">
        <f>IF(ISBLANK(Output!B208),"",Output!B208)</f>
        <v/>
      </c>
      <c r="C209" s="9" t="str">
        <f>IF(ISNUMBER(Output!C208),IF(Output!C208&gt;=12,IFERROR(ROUND(INT(Output!C208)/12,0)&amp;"'-"&amp;INT(ROUND((Output!C208/12-INT(Output!C208/12))*12,2))&amp;" "&amp;IF(MROUND(ROUND((Output!C208/12-INT(Output!C208/12))*12,3)-INT(ROUND((Output!C208/12-INT(Output!C208/12))*12,3)),1/8)=0,"",VLOOKUP(MROUND((Output!C208/12-INT(Output!C208/12))*12-INT((Output!C208/12-INT(Output!C208/12))*12),1/8),fract[],2,FALSE))&amp;"''",""),IFERROR(INT(Output!C208)&amp;" "&amp;IF(MROUND((Output!C208-INT(Output!C208)),1/8)=0,"",VLOOKUP(MROUND((Output!C208-INT(Output!C208)),1/8),fract[],2,FALSE))&amp;"''","")),"")</f>
        <v/>
      </c>
      <c r="D209" s="9" t="str">
        <f>IF(ISNUMBER(Output!D208),IFERROR(ROUND(INT(Output!D208/12),3)&amp;"'-"&amp;INT(ROUND((Output!D208/12-INT(Output!D208/12))*12,3))&amp;" "&amp;IF(MROUND(ROUND((Output!D208/12-INT(Output!D208/12))*12,3)-INT(ROUND((Output!D208/12-INT(Output!D208/12))*12,3)),1/8)=0,"",VLOOKUP(MROUND((Output!D208/12-INT(Output!D208/12))*12-INT((Output!D208/12-INT(Output!D208/12))*12),1/8),fract[],2,FALSE))&amp;"''",""),"")</f>
        <v/>
      </c>
      <c r="E209" s="9" t="str">
        <f>IF(ISNUMBER(Output!E208),IF(Output!E208&gt;=12,IFERROR(ROUND(INT(Output!E208)/12,0)&amp;"'-"&amp;INT(ROUND((Output!E208/12-INT(Output!E208/12))*12,2))&amp;" "&amp;IF(MROUND(ROUND((Output!E208/12-INT(Output!E208/12))*12,3)-INT(ROUND((Output!E208/12-INT(Output!E208/12))*12,3)),1/8)=0,"",VLOOKUP(MROUND((Output!E208/12-INT(Output!E208/12))*12-INT((Output!E208/12-INT(Output!E208/12))*12),1/8),fract[],2,FALSE))&amp;"''",""),IFERROR(INT(Output!E208)&amp;" "&amp;IF(MROUND((Output!E208-INT(Output!E208)),1/8)=0,"",VLOOKUP(MROUND((Output!E208-INT(Output!E208)),1/8),fract[],2,FALSE))&amp;"''","")),"")</f>
        <v/>
      </c>
      <c r="F209" s="8"/>
      <c r="G209" s="8"/>
      <c r="H209" s="9" t="str">
        <f t="shared" si="6"/>
        <v/>
      </c>
      <c r="I209" s="9" t="str">
        <f t="shared" si="7"/>
        <v/>
      </c>
      <c r="J209" s="12" t="str">
        <f>IF(ISNUMBER(Output!F208),Output!F208,"")</f>
        <v/>
      </c>
      <c r="K209" s="12" t="str">
        <f>IF(ISNUMBER(Output!G208),Output!G208,"")</f>
        <v/>
      </c>
    </row>
    <row r="210" spans="1:11" x14ac:dyDescent="0.25">
      <c r="A210" s="9" t="str">
        <f>IF(ISBLANK(Output!A209),"",Output!A209)</f>
        <v/>
      </c>
      <c r="B210" s="9" t="str">
        <f>IF(ISBLANK(Output!B209),"",Output!B209)</f>
        <v/>
      </c>
      <c r="C210" s="9" t="str">
        <f>IF(ISNUMBER(Output!C209),IF(Output!C209&gt;=12,IFERROR(ROUND(INT(Output!C209)/12,0)&amp;"'-"&amp;INT(ROUND((Output!C209/12-INT(Output!C209/12))*12,2))&amp;" "&amp;IF(MROUND(ROUND((Output!C209/12-INT(Output!C209/12))*12,3)-INT(ROUND((Output!C209/12-INT(Output!C209/12))*12,3)),1/8)=0,"",VLOOKUP(MROUND((Output!C209/12-INT(Output!C209/12))*12-INT((Output!C209/12-INT(Output!C209/12))*12),1/8),fract[],2,FALSE))&amp;"''",""),IFERROR(INT(Output!C209)&amp;" "&amp;IF(MROUND((Output!C209-INT(Output!C209)),1/8)=0,"",VLOOKUP(MROUND((Output!C209-INT(Output!C209)),1/8),fract[],2,FALSE))&amp;"''","")),"")</f>
        <v/>
      </c>
      <c r="D210" s="9" t="str">
        <f>IF(ISNUMBER(Output!D209),IFERROR(ROUND(INT(Output!D209/12),3)&amp;"'-"&amp;INT(ROUND((Output!D209/12-INT(Output!D209/12))*12,3))&amp;" "&amp;IF(MROUND(ROUND((Output!D209/12-INT(Output!D209/12))*12,3)-INT(ROUND((Output!D209/12-INT(Output!D209/12))*12,3)),1/8)=0,"",VLOOKUP(MROUND((Output!D209/12-INT(Output!D209/12))*12-INT((Output!D209/12-INT(Output!D209/12))*12),1/8),fract[],2,FALSE))&amp;"''",""),"")</f>
        <v/>
      </c>
      <c r="E210" s="9" t="str">
        <f>IF(ISNUMBER(Output!E209),IF(Output!E209&gt;=12,IFERROR(ROUND(INT(Output!E209)/12,0)&amp;"'-"&amp;INT(ROUND((Output!E209/12-INT(Output!E209/12))*12,2))&amp;" "&amp;IF(MROUND(ROUND((Output!E209/12-INT(Output!E209/12))*12,3)-INT(ROUND((Output!E209/12-INT(Output!E209/12))*12,3)),1/8)=0,"",VLOOKUP(MROUND((Output!E209/12-INT(Output!E209/12))*12-INT((Output!E209/12-INT(Output!E209/12))*12),1/8),fract[],2,FALSE))&amp;"''",""),IFERROR(INT(Output!E209)&amp;" "&amp;IF(MROUND((Output!E209-INT(Output!E209)),1/8)=0,"",VLOOKUP(MROUND((Output!E209-INT(Output!E209)),1/8),fract[],2,FALSE))&amp;"''","")),"")</f>
        <v/>
      </c>
      <c r="F210" s="8"/>
      <c r="G210" s="8"/>
      <c r="H210" s="9" t="str">
        <f t="shared" si="6"/>
        <v/>
      </c>
      <c r="I210" s="9" t="str">
        <f t="shared" si="7"/>
        <v/>
      </c>
      <c r="J210" s="12" t="str">
        <f>IF(ISNUMBER(Output!F209),Output!F209,"")</f>
        <v/>
      </c>
      <c r="K210" s="12" t="str">
        <f>IF(ISNUMBER(Output!G209),Output!G209,"")</f>
        <v/>
      </c>
    </row>
    <row r="211" spans="1:11" x14ac:dyDescent="0.25">
      <c r="A211" s="9" t="str">
        <f>IF(ISBLANK(Output!A210),"",Output!A210)</f>
        <v/>
      </c>
      <c r="B211" s="9" t="str">
        <f>IF(ISBLANK(Output!B210),"",Output!B210)</f>
        <v/>
      </c>
      <c r="C211" s="9" t="str">
        <f>IF(ISNUMBER(Output!C210),IF(Output!C210&gt;=12,IFERROR(ROUND(INT(Output!C210)/12,0)&amp;"'-"&amp;INT(ROUND((Output!C210/12-INT(Output!C210/12))*12,2))&amp;" "&amp;IF(MROUND(ROUND((Output!C210/12-INT(Output!C210/12))*12,3)-INT(ROUND((Output!C210/12-INT(Output!C210/12))*12,3)),1/8)=0,"",VLOOKUP(MROUND((Output!C210/12-INT(Output!C210/12))*12-INT((Output!C210/12-INT(Output!C210/12))*12),1/8),fract[],2,FALSE))&amp;"''",""),IFERROR(INT(Output!C210)&amp;" "&amp;IF(MROUND((Output!C210-INT(Output!C210)),1/8)=0,"",VLOOKUP(MROUND((Output!C210-INT(Output!C210)),1/8),fract[],2,FALSE))&amp;"''","")),"")</f>
        <v/>
      </c>
      <c r="D211" s="9" t="str">
        <f>IF(ISNUMBER(Output!D210),IFERROR(ROUND(INT(Output!D210/12),3)&amp;"'-"&amp;INT(ROUND((Output!D210/12-INT(Output!D210/12))*12,3))&amp;" "&amp;IF(MROUND(ROUND((Output!D210/12-INT(Output!D210/12))*12,3)-INT(ROUND((Output!D210/12-INT(Output!D210/12))*12,3)),1/8)=0,"",VLOOKUP(MROUND((Output!D210/12-INT(Output!D210/12))*12-INT((Output!D210/12-INT(Output!D210/12))*12),1/8),fract[],2,FALSE))&amp;"''",""),"")</f>
        <v/>
      </c>
      <c r="E211" s="9" t="str">
        <f>IF(ISNUMBER(Output!E210),IF(Output!E210&gt;=12,IFERROR(ROUND(INT(Output!E210)/12,0)&amp;"'-"&amp;INT(ROUND((Output!E210/12-INT(Output!E210/12))*12,2))&amp;" "&amp;IF(MROUND(ROUND((Output!E210/12-INT(Output!E210/12))*12,3)-INT(ROUND((Output!E210/12-INT(Output!E210/12))*12,3)),1/8)=0,"",VLOOKUP(MROUND((Output!E210/12-INT(Output!E210/12))*12-INT((Output!E210/12-INT(Output!E210/12))*12),1/8),fract[],2,FALSE))&amp;"''",""),IFERROR(INT(Output!E210)&amp;" "&amp;IF(MROUND((Output!E210-INT(Output!E210)),1/8)=0,"",VLOOKUP(MROUND((Output!E210-INT(Output!E210)),1/8),fract[],2,FALSE))&amp;"''","")),"")</f>
        <v/>
      </c>
      <c r="F211" s="8"/>
      <c r="G211" s="8"/>
      <c r="H211" s="9" t="str">
        <f t="shared" si="6"/>
        <v/>
      </c>
      <c r="I211" s="9" t="str">
        <f t="shared" si="7"/>
        <v/>
      </c>
      <c r="J211" s="12" t="str">
        <f>IF(ISNUMBER(Output!F210),Output!F210,"")</f>
        <v/>
      </c>
      <c r="K211" s="12" t="str">
        <f>IF(ISNUMBER(Output!G210),Output!G210,"")</f>
        <v/>
      </c>
    </row>
    <row r="212" spans="1:11" x14ac:dyDescent="0.25">
      <c r="A212" s="9" t="str">
        <f>IF(ISBLANK(Output!A211),"",Output!A211)</f>
        <v/>
      </c>
      <c r="B212" s="9" t="str">
        <f>IF(ISBLANK(Output!B211),"",Output!B211)</f>
        <v/>
      </c>
      <c r="C212" s="9" t="str">
        <f>IF(ISNUMBER(Output!C211),IF(Output!C211&gt;=12,IFERROR(ROUND(INT(Output!C211)/12,0)&amp;"'-"&amp;INT(ROUND((Output!C211/12-INT(Output!C211/12))*12,2))&amp;" "&amp;IF(MROUND(ROUND((Output!C211/12-INT(Output!C211/12))*12,3)-INT(ROUND((Output!C211/12-INT(Output!C211/12))*12,3)),1/8)=0,"",VLOOKUP(MROUND((Output!C211/12-INT(Output!C211/12))*12-INT((Output!C211/12-INT(Output!C211/12))*12),1/8),fract[],2,FALSE))&amp;"''",""),IFERROR(INT(Output!C211)&amp;" "&amp;IF(MROUND((Output!C211-INT(Output!C211)),1/8)=0,"",VLOOKUP(MROUND((Output!C211-INT(Output!C211)),1/8),fract[],2,FALSE))&amp;"''","")),"")</f>
        <v/>
      </c>
      <c r="D212" s="9" t="str">
        <f>IF(ISNUMBER(Output!D211),IFERROR(ROUND(INT(Output!D211/12),3)&amp;"'-"&amp;INT(ROUND((Output!D211/12-INT(Output!D211/12))*12,3))&amp;" "&amp;IF(MROUND(ROUND((Output!D211/12-INT(Output!D211/12))*12,3)-INT(ROUND((Output!D211/12-INT(Output!D211/12))*12,3)),1/8)=0,"",VLOOKUP(MROUND((Output!D211/12-INT(Output!D211/12))*12-INT((Output!D211/12-INT(Output!D211/12))*12),1/8),fract[],2,FALSE))&amp;"''",""),"")</f>
        <v/>
      </c>
      <c r="E212" s="9" t="str">
        <f>IF(ISNUMBER(Output!E211),IF(Output!E211&gt;=12,IFERROR(ROUND(INT(Output!E211)/12,0)&amp;"'-"&amp;INT(ROUND((Output!E211/12-INT(Output!E211/12))*12,2))&amp;" "&amp;IF(MROUND(ROUND((Output!E211/12-INT(Output!E211/12))*12,3)-INT(ROUND((Output!E211/12-INT(Output!E211/12))*12,3)),1/8)=0,"",VLOOKUP(MROUND((Output!E211/12-INT(Output!E211/12))*12-INT((Output!E211/12-INT(Output!E211/12))*12),1/8),fract[],2,FALSE))&amp;"''",""),IFERROR(INT(Output!E211)&amp;" "&amp;IF(MROUND((Output!E211-INT(Output!E211)),1/8)=0,"",VLOOKUP(MROUND((Output!E211-INT(Output!E211)),1/8),fract[],2,FALSE))&amp;"''","")),"")</f>
        <v/>
      </c>
      <c r="F212" s="8"/>
      <c r="G212" s="8"/>
      <c r="H212" s="9" t="str">
        <f t="shared" si="6"/>
        <v/>
      </c>
      <c r="I212" s="9" t="str">
        <f t="shared" si="7"/>
        <v/>
      </c>
      <c r="J212" s="12" t="str">
        <f>IF(ISNUMBER(Output!F211),Output!F211,"")</f>
        <v/>
      </c>
      <c r="K212" s="12" t="str">
        <f>IF(ISNUMBER(Output!G211),Output!G211,"")</f>
        <v/>
      </c>
    </row>
    <row r="213" spans="1:11" x14ac:dyDescent="0.25">
      <c r="A213" s="9" t="str">
        <f>IF(ISBLANK(Output!A212),"",Output!A212)</f>
        <v/>
      </c>
      <c r="B213" s="9" t="str">
        <f>IF(ISBLANK(Output!B212),"",Output!B212)</f>
        <v/>
      </c>
      <c r="C213" s="9" t="str">
        <f>IF(ISNUMBER(Output!C212),IF(Output!C212&gt;=12,IFERROR(ROUND(INT(Output!C212)/12,0)&amp;"'-"&amp;INT(ROUND((Output!C212/12-INT(Output!C212/12))*12,2))&amp;" "&amp;IF(MROUND(ROUND((Output!C212/12-INT(Output!C212/12))*12,3)-INT(ROUND((Output!C212/12-INT(Output!C212/12))*12,3)),1/8)=0,"",VLOOKUP(MROUND((Output!C212/12-INT(Output!C212/12))*12-INT((Output!C212/12-INT(Output!C212/12))*12),1/8),fract[],2,FALSE))&amp;"''",""),IFERROR(INT(Output!C212)&amp;" "&amp;IF(MROUND((Output!C212-INT(Output!C212)),1/8)=0,"",VLOOKUP(MROUND((Output!C212-INT(Output!C212)),1/8),fract[],2,FALSE))&amp;"''","")),"")</f>
        <v/>
      </c>
      <c r="D213" s="9" t="str">
        <f>IF(ISNUMBER(Output!D212),IFERROR(ROUND(INT(Output!D212/12),3)&amp;"'-"&amp;INT(ROUND((Output!D212/12-INT(Output!D212/12))*12,3))&amp;" "&amp;IF(MROUND(ROUND((Output!D212/12-INT(Output!D212/12))*12,3)-INT(ROUND((Output!D212/12-INT(Output!D212/12))*12,3)),1/8)=0,"",VLOOKUP(MROUND((Output!D212/12-INT(Output!D212/12))*12-INT((Output!D212/12-INT(Output!D212/12))*12),1/8),fract[],2,FALSE))&amp;"''",""),"")</f>
        <v/>
      </c>
      <c r="E213" s="9" t="str">
        <f>IF(ISNUMBER(Output!E212),IF(Output!E212&gt;=12,IFERROR(ROUND(INT(Output!E212)/12,0)&amp;"'-"&amp;INT(ROUND((Output!E212/12-INT(Output!E212/12))*12,2))&amp;" "&amp;IF(MROUND(ROUND((Output!E212/12-INT(Output!E212/12))*12,3)-INT(ROUND((Output!E212/12-INT(Output!E212/12))*12,3)),1/8)=0,"",VLOOKUP(MROUND((Output!E212/12-INT(Output!E212/12))*12-INT((Output!E212/12-INT(Output!E212/12))*12),1/8),fract[],2,FALSE))&amp;"''",""),IFERROR(INT(Output!E212)&amp;" "&amp;IF(MROUND((Output!E212-INT(Output!E212)),1/8)=0,"",VLOOKUP(MROUND((Output!E212-INT(Output!E212)),1/8),fract[],2,FALSE))&amp;"''","")),"")</f>
        <v/>
      </c>
      <c r="F213" s="8"/>
      <c r="G213" s="8"/>
      <c r="H213" s="9" t="str">
        <f t="shared" si="6"/>
        <v/>
      </c>
      <c r="I213" s="9" t="str">
        <f t="shared" si="7"/>
        <v/>
      </c>
      <c r="J213" s="12" t="str">
        <f>IF(ISNUMBER(Output!F212),Output!F212,"")</f>
        <v/>
      </c>
      <c r="K213" s="12" t="str">
        <f>IF(ISNUMBER(Output!G212),Output!G212,"")</f>
        <v/>
      </c>
    </row>
    <row r="214" spans="1:11" x14ac:dyDescent="0.25">
      <c r="A214" s="9" t="str">
        <f>IF(ISBLANK(Output!A213),"",Output!A213)</f>
        <v/>
      </c>
      <c r="B214" s="9" t="str">
        <f>IF(ISBLANK(Output!B213),"",Output!B213)</f>
        <v/>
      </c>
      <c r="C214" s="9" t="str">
        <f>IF(ISNUMBER(Output!C213),IF(Output!C213&gt;=12,IFERROR(ROUND(INT(Output!C213)/12,0)&amp;"'-"&amp;INT(ROUND((Output!C213/12-INT(Output!C213/12))*12,2))&amp;" "&amp;IF(MROUND(ROUND((Output!C213/12-INT(Output!C213/12))*12,3)-INT(ROUND((Output!C213/12-INT(Output!C213/12))*12,3)),1/8)=0,"",VLOOKUP(MROUND((Output!C213/12-INT(Output!C213/12))*12-INT((Output!C213/12-INT(Output!C213/12))*12),1/8),fract[],2,FALSE))&amp;"''",""),IFERROR(INT(Output!C213)&amp;" "&amp;IF(MROUND((Output!C213-INT(Output!C213)),1/8)=0,"",VLOOKUP(MROUND((Output!C213-INT(Output!C213)),1/8),fract[],2,FALSE))&amp;"''","")),"")</f>
        <v/>
      </c>
      <c r="D214" s="9" t="str">
        <f>IF(ISNUMBER(Output!D213),IFERROR(ROUND(INT(Output!D213/12),3)&amp;"'-"&amp;INT(ROUND((Output!D213/12-INT(Output!D213/12))*12,3))&amp;" "&amp;IF(MROUND(ROUND((Output!D213/12-INT(Output!D213/12))*12,3)-INT(ROUND((Output!D213/12-INT(Output!D213/12))*12,3)),1/8)=0,"",VLOOKUP(MROUND((Output!D213/12-INT(Output!D213/12))*12-INT((Output!D213/12-INT(Output!D213/12))*12),1/8),fract[],2,FALSE))&amp;"''",""),"")</f>
        <v/>
      </c>
      <c r="E214" s="9" t="str">
        <f>IF(ISNUMBER(Output!E213),IF(Output!E213&gt;=12,IFERROR(ROUND(INT(Output!E213)/12,0)&amp;"'-"&amp;INT(ROUND((Output!E213/12-INT(Output!E213/12))*12,2))&amp;" "&amp;IF(MROUND(ROUND((Output!E213/12-INT(Output!E213/12))*12,3)-INT(ROUND((Output!E213/12-INT(Output!E213/12))*12,3)),1/8)=0,"",VLOOKUP(MROUND((Output!E213/12-INT(Output!E213/12))*12-INT((Output!E213/12-INT(Output!E213/12))*12),1/8),fract[],2,FALSE))&amp;"''",""),IFERROR(INT(Output!E213)&amp;" "&amp;IF(MROUND((Output!E213-INT(Output!E213)),1/8)=0,"",VLOOKUP(MROUND((Output!E213-INT(Output!E213)),1/8),fract[],2,FALSE))&amp;"''","")),"")</f>
        <v/>
      </c>
      <c r="F214" s="8"/>
      <c r="G214" s="8"/>
      <c r="H214" s="9" t="str">
        <f t="shared" si="6"/>
        <v/>
      </c>
      <c r="I214" s="9" t="str">
        <f t="shared" si="7"/>
        <v/>
      </c>
      <c r="J214" s="12" t="str">
        <f>IF(ISNUMBER(Output!F213),Output!F213,"")</f>
        <v/>
      </c>
      <c r="K214" s="12" t="str">
        <f>IF(ISNUMBER(Output!G213),Output!G213,"")</f>
        <v/>
      </c>
    </row>
    <row r="215" spans="1:11" x14ac:dyDescent="0.25">
      <c r="A215" s="9" t="str">
        <f>IF(ISBLANK(Output!A214),"",Output!A214)</f>
        <v/>
      </c>
      <c r="B215" s="9" t="str">
        <f>IF(ISBLANK(Output!B214),"",Output!B214)</f>
        <v/>
      </c>
      <c r="C215" s="9" t="str">
        <f>IF(ISNUMBER(Output!C214),IF(Output!C214&gt;=12,IFERROR(ROUND(INT(Output!C214)/12,0)&amp;"'-"&amp;INT(ROUND((Output!C214/12-INT(Output!C214/12))*12,2))&amp;" "&amp;IF(MROUND(ROUND((Output!C214/12-INT(Output!C214/12))*12,3)-INT(ROUND((Output!C214/12-INT(Output!C214/12))*12,3)),1/8)=0,"",VLOOKUP(MROUND((Output!C214/12-INT(Output!C214/12))*12-INT((Output!C214/12-INT(Output!C214/12))*12),1/8),fract[],2,FALSE))&amp;"''",""),IFERROR(INT(Output!C214)&amp;" "&amp;IF(MROUND((Output!C214-INT(Output!C214)),1/8)=0,"",VLOOKUP(MROUND((Output!C214-INT(Output!C214)),1/8),fract[],2,FALSE))&amp;"''","")),"")</f>
        <v/>
      </c>
      <c r="D215" s="9" t="str">
        <f>IF(ISNUMBER(Output!D214),IFERROR(ROUND(INT(Output!D214/12),3)&amp;"'-"&amp;INT(ROUND((Output!D214/12-INT(Output!D214/12))*12,3))&amp;" "&amp;IF(MROUND(ROUND((Output!D214/12-INT(Output!D214/12))*12,3)-INT(ROUND((Output!D214/12-INT(Output!D214/12))*12,3)),1/8)=0,"",VLOOKUP(MROUND((Output!D214/12-INT(Output!D214/12))*12-INT((Output!D214/12-INT(Output!D214/12))*12),1/8),fract[],2,FALSE))&amp;"''",""),"")</f>
        <v/>
      </c>
      <c r="E215" s="9" t="str">
        <f>IF(ISNUMBER(Output!E214),IF(Output!E214&gt;=12,IFERROR(ROUND(INT(Output!E214)/12,0)&amp;"'-"&amp;INT(ROUND((Output!E214/12-INT(Output!E214/12))*12,2))&amp;" "&amp;IF(MROUND(ROUND((Output!E214/12-INT(Output!E214/12))*12,3)-INT(ROUND((Output!E214/12-INT(Output!E214/12))*12,3)),1/8)=0,"",VLOOKUP(MROUND((Output!E214/12-INT(Output!E214/12))*12-INT((Output!E214/12-INT(Output!E214/12))*12),1/8),fract[],2,FALSE))&amp;"''",""),IFERROR(INT(Output!E214)&amp;" "&amp;IF(MROUND((Output!E214-INT(Output!E214)),1/8)=0,"",VLOOKUP(MROUND((Output!E214-INT(Output!E214)),1/8),fract[],2,FALSE))&amp;"''","")),"")</f>
        <v/>
      </c>
      <c r="F215" s="8"/>
      <c r="G215" s="8"/>
      <c r="H215" s="9" t="str">
        <f t="shared" si="6"/>
        <v/>
      </c>
      <c r="I215" s="9" t="str">
        <f t="shared" si="7"/>
        <v/>
      </c>
      <c r="J215" s="12" t="str">
        <f>IF(ISNUMBER(Output!F214),Output!F214,"")</f>
        <v/>
      </c>
      <c r="K215" s="12" t="str">
        <f>IF(ISNUMBER(Output!G214),Output!G214,"")</f>
        <v/>
      </c>
    </row>
    <row r="216" spans="1:11" x14ac:dyDescent="0.25">
      <c r="A216" s="9" t="str">
        <f>IF(ISBLANK(Output!A215),"",Output!A215)</f>
        <v/>
      </c>
      <c r="B216" s="9" t="str">
        <f>IF(ISBLANK(Output!B215),"",Output!B215)</f>
        <v/>
      </c>
      <c r="C216" s="9" t="str">
        <f>IF(ISNUMBER(Output!C215),IF(Output!C215&gt;=12,IFERROR(ROUND(INT(Output!C215)/12,0)&amp;"'-"&amp;INT(ROUND((Output!C215/12-INT(Output!C215/12))*12,2))&amp;" "&amp;IF(MROUND(ROUND((Output!C215/12-INT(Output!C215/12))*12,3)-INT(ROUND((Output!C215/12-INT(Output!C215/12))*12,3)),1/8)=0,"",VLOOKUP(MROUND((Output!C215/12-INT(Output!C215/12))*12-INT((Output!C215/12-INT(Output!C215/12))*12),1/8),fract[],2,FALSE))&amp;"''",""),IFERROR(INT(Output!C215)&amp;" "&amp;IF(MROUND((Output!C215-INT(Output!C215)),1/8)=0,"",VLOOKUP(MROUND((Output!C215-INT(Output!C215)),1/8),fract[],2,FALSE))&amp;"''","")),"")</f>
        <v/>
      </c>
      <c r="D216" s="9" t="str">
        <f>IF(ISNUMBER(Output!D215),IFERROR(ROUND(INT(Output!D215/12),3)&amp;"'-"&amp;INT(ROUND((Output!D215/12-INT(Output!D215/12))*12,3))&amp;" "&amp;IF(MROUND(ROUND((Output!D215/12-INT(Output!D215/12))*12,3)-INT(ROUND((Output!D215/12-INT(Output!D215/12))*12,3)),1/8)=0,"",VLOOKUP(MROUND((Output!D215/12-INT(Output!D215/12))*12-INT((Output!D215/12-INT(Output!D215/12))*12),1/8),fract[],2,FALSE))&amp;"''",""),"")</f>
        <v/>
      </c>
      <c r="E216" s="9" t="str">
        <f>IF(ISNUMBER(Output!E215),IF(Output!E215&gt;=12,IFERROR(ROUND(INT(Output!E215)/12,0)&amp;"'-"&amp;INT(ROUND((Output!E215/12-INT(Output!E215/12))*12,2))&amp;" "&amp;IF(MROUND(ROUND((Output!E215/12-INT(Output!E215/12))*12,3)-INT(ROUND((Output!E215/12-INT(Output!E215/12))*12,3)),1/8)=0,"",VLOOKUP(MROUND((Output!E215/12-INT(Output!E215/12))*12-INT((Output!E215/12-INT(Output!E215/12))*12),1/8),fract[],2,FALSE))&amp;"''",""),IFERROR(INT(Output!E215)&amp;" "&amp;IF(MROUND((Output!E215-INT(Output!E215)),1/8)=0,"",VLOOKUP(MROUND((Output!E215-INT(Output!E215)),1/8),fract[],2,FALSE))&amp;"''","")),"")</f>
        <v/>
      </c>
      <c r="F216" s="8"/>
      <c r="G216" s="8"/>
      <c r="H216" s="9" t="str">
        <f t="shared" si="6"/>
        <v/>
      </c>
      <c r="I216" s="9" t="str">
        <f t="shared" si="7"/>
        <v/>
      </c>
      <c r="J216" s="12" t="str">
        <f>IF(ISNUMBER(Output!F215),Output!F215,"")</f>
        <v/>
      </c>
      <c r="K216" s="12" t="str">
        <f>IF(ISNUMBER(Output!G215),Output!G215,"")</f>
        <v/>
      </c>
    </row>
    <row r="217" spans="1:11" x14ac:dyDescent="0.25">
      <c r="A217" s="9" t="str">
        <f>IF(ISBLANK(Output!A216),"",Output!A216)</f>
        <v/>
      </c>
      <c r="B217" s="9" t="str">
        <f>IF(ISBLANK(Output!B216),"",Output!B216)</f>
        <v/>
      </c>
      <c r="C217" s="9" t="str">
        <f>IF(ISNUMBER(Output!C216),IF(Output!C216&gt;=12,IFERROR(ROUND(INT(Output!C216)/12,0)&amp;"'-"&amp;INT(ROUND((Output!C216/12-INT(Output!C216/12))*12,2))&amp;" "&amp;IF(MROUND(ROUND((Output!C216/12-INT(Output!C216/12))*12,3)-INT(ROUND((Output!C216/12-INT(Output!C216/12))*12,3)),1/8)=0,"",VLOOKUP(MROUND((Output!C216/12-INT(Output!C216/12))*12-INT((Output!C216/12-INT(Output!C216/12))*12),1/8),fract[],2,FALSE))&amp;"''",""),IFERROR(INT(Output!C216)&amp;" "&amp;IF(MROUND((Output!C216-INT(Output!C216)),1/8)=0,"",VLOOKUP(MROUND((Output!C216-INT(Output!C216)),1/8),fract[],2,FALSE))&amp;"''","")),"")</f>
        <v/>
      </c>
      <c r="D217" s="9" t="str">
        <f>IF(ISNUMBER(Output!D216),IFERROR(ROUND(INT(Output!D216/12),3)&amp;"'-"&amp;INT(ROUND((Output!D216/12-INT(Output!D216/12))*12,3))&amp;" "&amp;IF(MROUND(ROUND((Output!D216/12-INT(Output!D216/12))*12,3)-INT(ROUND((Output!D216/12-INT(Output!D216/12))*12,3)),1/8)=0,"",VLOOKUP(MROUND((Output!D216/12-INT(Output!D216/12))*12-INT((Output!D216/12-INT(Output!D216/12))*12),1/8),fract[],2,FALSE))&amp;"''",""),"")</f>
        <v/>
      </c>
      <c r="E217" s="9" t="str">
        <f>IF(ISNUMBER(Output!E216),IF(Output!E216&gt;=12,IFERROR(ROUND(INT(Output!E216)/12,0)&amp;"'-"&amp;INT(ROUND((Output!E216/12-INT(Output!E216/12))*12,2))&amp;" "&amp;IF(MROUND(ROUND((Output!E216/12-INT(Output!E216/12))*12,3)-INT(ROUND((Output!E216/12-INT(Output!E216/12))*12,3)),1/8)=0,"",VLOOKUP(MROUND((Output!E216/12-INT(Output!E216/12))*12-INT((Output!E216/12-INT(Output!E216/12))*12),1/8),fract[],2,FALSE))&amp;"''",""),IFERROR(INT(Output!E216)&amp;" "&amp;IF(MROUND((Output!E216-INT(Output!E216)),1/8)=0,"",VLOOKUP(MROUND((Output!E216-INT(Output!E216)),1/8),fract[],2,FALSE))&amp;"''","")),"")</f>
        <v/>
      </c>
      <c r="F217" s="8"/>
      <c r="G217" s="8"/>
      <c r="H217" s="9" t="str">
        <f t="shared" si="6"/>
        <v/>
      </c>
      <c r="I217" s="9" t="str">
        <f t="shared" si="7"/>
        <v/>
      </c>
      <c r="J217" s="12" t="str">
        <f>IF(ISNUMBER(Output!F216),Output!F216,"")</f>
        <v/>
      </c>
      <c r="K217" s="12" t="str">
        <f>IF(ISNUMBER(Output!G216),Output!G216,"")</f>
        <v/>
      </c>
    </row>
    <row r="218" spans="1:11" x14ac:dyDescent="0.25">
      <c r="A218" s="9" t="str">
        <f>IF(ISBLANK(Output!A217),"",Output!A217)</f>
        <v/>
      </c>
      <c r="B218" s="9" t="str">
        <f>IF(ISBLANK(Output!B217),"",Output!B217)</f>
        <v/>
      </c>
      <c r="C218" s="9" t="str">
        <f>IF(ISNUMBER(Output!C217),IF(Output!C217&gt;=12,IFERROR(ROUND(INT(Output!C217)/12,0)&amp;"'-"&amp;INT(ROUND((Output!C217/12-INT(Output!C217/12))*12,2))&amp;" "&amp;IF(MROUND(ROUND((Output!C217/12-INT(Output!C217/12))*12,3)-INT(ROUND((Output!C217/12-INT(Output!C217/12))*12,3)),1/8)=0,"",VLOOKUP(MROUND((Output!C217/12-INT(Output!C217/12))*12-INT((Output!C217/12-INT(Output!C217/12))*12),1/8),fract[],2,FALSE))&amp;"''",""),IFERROR(INT(Output!C217)&amp;" "&amp;IF(MROUND((Output!C217-INT(Output!C217)),1/8)=0,"",VLOOKUP(MROUND((Output!C217-INT(Output!C217)),1/8),fract[],2,FALSE))&amp;"''","")),"")</f>
        <v/>
      </c>
      <c r="D218" s="9" t="str">
        <f>IF(ISNUMBER(Output!D217),IFERROR(ROUND(INT(Output!D217/12),3)&amp;"'-"&amp;INT(ROUND((Output!D217/12-INT(Output!D217/12))*12,3))&amp;" "&amp;IF(MROUND(ROUND((Output!D217/12-INT(Output!D217/12))*12,3)-INT(ROUND((Output!D217/12-INT(Output!D217/12))*12,3)),1/8)=0,"",VLOOKUP(MROUND((Output!D217/12-INT(Output!D217/12))*12-INT((Output!D217/12-INT(Output!D217/12))*12),1/8),fract[],2,FALSE))&amp;"''",""),"")</f>
        <v/>
      </c>
      <c r="E218" s="9" t="str">
        <f>IF(ISNUMBER(Output!E217),IF(Output!E217&gt;=12,IFERROR(ROUND(INT(Output!E217)/12,0)&amp;"'-"&amp;INT(ROUND((Output!E217/12-INT(Output!E217/12))*12,2))&amp;" "&amp;IF(MROUND(ROUND((Output!E217/12-INT(Output!E217/12))*12,3)-INT(ROUND((Output!E217/12-INT(Output!E217/12))*12,3)),1/8)=0,"",VLOOKUP(MROUND((Output!E217/12-INT(Output!E217/12))*12-INT((Output!E217/12-INT(Output!E217/12))*12),1/8),fract[],2,FALSE))&amp;"''",""),IFERROR(INT(Output!E217)&amp;" "&amp;IF(MROUND((Output!E217-INT(Output!E217)),1/8)=0,"",VLOOKUP(MROUND((Output!E217-INT(Output!E217)),1/8),fract[],2,FALSE))&amp;"''","")),"")</f>
        <v/>
      </c>
      <c r="F218" s="8"/>
      <c r="G218" s="8"/>
      <c r="H218" s="9" t="str">
        <f t="shared" si="6"/>
        <v/>
      </c>
      <c r="I218" s="9" t="str">
        <f t="shared" si="7"/>
        <v/>
      </c>
      <c r="J218" s="12" t="str">
        <f>IF(ISNUMBER(Output!F217),Output!F217,"")</f>
        <v/>
      </c>
      <c r="K218" s="12" t="str">
        <f>IF(ISNUMBER(Output!G217),Output!G217,"")</f>
        <v/>
      </c>
    </row>
    <row r="219" spans="1:11" x14ac:dyDescent="0.25">
      <c r="A219" s="9" t="str">
        <f>IF(ISBLANK(Output!A218),"",Output!A218)</f>
        <v/>
      </c>
      <c r="B219" s="9" t="str">
        <f>IF(ISBLANK(Output!B218),"",Output!B218)</f>
        <v/>
      </c>
      <c r="C219" s="9" t="str">
        <f>IF(ISNUMBER(Output!C218),IF(Output!C218&gt;=12,IFERROR(ROUND(INT(Output!C218)/12,0)&amp;"'-"&amp;INT(ROUND((Output!C218/12-INT(Output!C218/12))*12,2))&amp;" "&amp;IF(MROUND(ROUND((Output!C218/12-INT(Output!C218/12))*12,3)-INT(ROUND((Output!C218/12-INT(Output!C218/12))*12,3)),1/8)=0,"",VLOOKUP(MROUND((Output!C218/12-INT(Output!C218/12))*12-INT((Output!C218/12-INT(Output!C218/12))*12),1/8),fract[],2,FALSE))&amp;"''",""),IFERROR(INT(Output!C218)&amp;" "&amp;IF(MROUND((Output!C218-INT(Output!C218)),1/8)=0,"",VLOOKUP(MROUND((Output!C218-INT(Output!C218)),1/8),fract[],2,FALSE))&amp;"''","")),"")</f>
        <v/>
      </c>
      <c r="D219" s="9" t="str">
        <f>IF(ISNUMBER(Output!D218),IFERROR(ROUND(INT(Output!D218/12),3)&amp;"'-"&amp;INT(ROUND((Output!D218/12-INT(Output!D218/12))*12,3))&amp;" "&amp;IF(MROUND(ROUND((Output!D218/12-INT(Output!D218/12))*12,3)-INT(ROUND((Output!D218/12-INT(Output!D218/12))*12,3)),1/8)=0,"",VLOOKUP(MROUND((Output!D218/12-INT(Output!D218/12))*12-INT((Output!D218/12-INT(Output!D218/12))*12),1/8),fract[],2,FALSE))&amp;"''",""),"")</f>
        <v/>
      </c>
      <c r="E219" s="9" t="str">
        <f>IF(ISNUMBER(Output!E218),IF(Output!E218&gt;=12,IFERROR(ROUND(INT(Output!E218)/12,0)&amp;"'-"&amp;INT(ROUND((Output!E218/12-INT(Output!E218/12))*12,2))&amp;" "&amp;IF(MROUND(ROUND((Output!E218/12-INT(Output!E218/12))*12,3)-INT(ROUND((Output!E218/12-INT(Output!E218/12))*12,3)),1/8)=0,"",VLOOKUP(MROUND((Output!E218/12-INT(Output!E218/12))*12-INT((Output!E218/12-INT(Output!E218/12))*12),1/8),fract[],2,FALSE))&amp;"''",""),IFERROR(INT(Output!E218)&amp;" "&amp;IF(MROUND((Output!E218-INT(Output!E218)),1/8)=0,"",VLOOKUP(MROUND((Output!E218-INT(Output!E218)),1/8),fract[],2,FALSE))&amp;"''","")),"")</f>
        <v/>
      </c>
      <c r="F219" s="8"/>
      <c r="G219" s="8"/>
      <c r="H219" s="9" t="str">
        <f t="shared" si="6"/>
        <v/>
      </c>
      <c r="I219" s="9" t="str">
        <f t="shared" si="7"/>
        <v/>
      </c>
      <c r="J219" s="12" t="str">
        <f>IF(ISNUMBER(Output!F218),Output!F218,"")</f>
        <v/>
      </c>
      <c r="K219" s="12" t="str">
        <f>IF(ISNUMBER(Output!G218),Output!G218,"")</f>
        <v/>
      </c>
    </row>
    <row r="220" spans="1:11" x14ac:dyDescent="0.25">
      <c r="A220" s="9" t="str">
        <f>IF(ISBLANK(Output!A219),"",Output!A219)</f>
        <v/>
      </c>
      <c r="B220" s="9" t="str">
        <f>IF(ISBLANK(Output!B219),"",Output!B219)</f>
        <v/>
      </c>
      <c r="C220" s="9" t="str">
        <f>IF(ISNUMBER(Output!C219),IF(Output!C219&gt;=12,IFERROR(ROUND(INT(Output!C219)/12,0)&amp;"'-"&amp;INT(ROUND((Output!C219/12-INT(Output!C219/12))*12,2))&amp;" "&amp;IF(MROUND(ROUND((Output!C219/12-INT(Output!C219/12))*12,3)-INT(ROUND((Output!C219/12-INT(Output!C219/12))*12,3)),1/8)=0,"",VLOOKUP(MROUND((Output!C219/12-INT(Output!C219/12))*12-INT((Output!C219/12-INT(Output!C219/12))*12),1/8),fract[],2,FALSE))&amp;"''",""),IFERROR(INT(Output!C219)&amp;" "&amp;IF(MROUND((Output!C219-INT(Output!C219)),1/8)=0,"",VLOOKUP(MROUND((Output!C219-INT(Output!C219)),1/8),fract[],2,FALSE))&amp;"''","")),"")</f>
        <v/>
      </c>
      <c r="D220" s="9" t="str">
        <f>IF(ISNUMBER(Output!D219),IFERROR(ROUND(INT(Output!D219/12),3)&amp;"'-"&amp;INT(ROUND((Output!D219/12-INT(Output!D219/12))*12,3))&amp;" "&amp;IF(MROUND(ROUND((Output!D219/12-INT(Output!D219/12))*12,3)-INT(ROUND((Output!D219/12-INT(Output!D219/12))*12,3)),1/8)=0,"",VLOOKUP(MROUND((Output!D219/12-INT(Output!D219/12))*12-INT((Output!D219/12-INT(Output!D219/12))*12),1/8),fract[],2,FALSE))&amp;"''",""),"")</f>
        <v/>
      </c>
      <c r="E220" s="9" t="str">
        <f>IF(ISNUMBER(Output!E219),IF(Output!E219&gt;=12,IFERROR(ROUND(INT(Output!E219)/12,0)&amp;"'-"&amp;INT(ROUND((Output!E219/12-INT(Output!E219/12))*12,2))&amp;" "&amp;IF(MROUND(ROUND((Output!E219/12-INT(Output!E219/12))*12,3)-INT(ROUND((Output!E219/12-INT(Output!E219/12))*12,3)),1/8)=0,"",VLOOKUP(MROUND((Output!E219/12-INT(Output!E219/12))*12-INT((Output!E219/12-INT(Output!E219/12))*12),1/8),fract[],2,FALSE))&amp;"''",""),IFERROR(INT(Output!E219)&amp;" "&amp;IF(MROUND((Output!E219-INT(Output!E219)),1/8)=0,"",VLOOKUP(MROUND((Output!E219-INT(Output!E219)),1/8),fract[],2,FALSE))&amp;"''","")),"")</f>
        <v/>
      </c>
      <c r="F220" s="8"/>
      <c r="G220" s="8"/>
      <c r="H220" s="9" t="str">
        <f t="shared" si="6"/>
        <v/>
      </c>
      <c r="I220" s="9" t="str">
        <f t="shared" si="7"/>
        <v/>
      </c>
      <c r="J220" s="12" t="str">
        <f>IF(ISNUMBER(Output!F219),Output!F219,"")</f>
        <v/>
      </c>
      <c r="K220" s="12" t="str">
        <f>IF(ISNUMBER(Output!G219),Output!G219,"")</f>
        <v/>
      </c>
    </row>
    <row r="221" spans="1:11" x14ac:dyDescent="0.25">
      <c r="A221" s="9" t="str">
        <f>IF(ISBLANK(Output!A220),"",Output!A220)</f>
        <v/>
      </c>
      <c r="B221" s="9" t="str">
        <f>IF(ISBLANK(Output!B220),"",Output!B220)</f>
        <v/>
      </c>
      <c r="C221" s="9" t="str">
        <f>IF(ISNUMBER(Output!C220),IF(Output!C220&gt;=12,IFERROR(ROUND(INT(Output!C220)/12,0)&amp;"'-"&amp;INT(ROUND((Output!C220/12-INT(Output!C220/12))*12,2))&amp;" "&amp;IF(MROUND(ROUND((Output!C220/12-INT(Output!C220/12))*12,3)-INT(ROUND((Output!C220/12-INT(Output!C220/12))*12,3)),1/8)=0,"",VLOOKUP(MROUND((Output!C220/12-INT(Output!C220/12))*12-INT((Output!C220/12-INT(Output!C220/12))*12),1/8),fract[],2,FALSE))&amp;"''",""),IFERROR(INT(Output!C220)&amp;" "&amp;IF(MROUND((Output!C220-INT(Output!C220)),1/8)=0,"",VLOOKUP(MROUND((Output!C220-INT(Output!C220)),1/8),fract[],2,FALSE))&amp;"''","")),"")</f>
        <v/>
      </c>
      <c r="D221" s="9" t="str">
        <f>IF(ISNUMBER(Output!D220),IFERROR(ROUND(INT(Output!D220/12),3)&amp;"'-"&amp;INT(ROUND((Output!D220/12-INT(Output!D220/12))*12,3))&amp;" "&amp;IF(MROUND(ROUND((Output!D220/12-INT(Output!D220/12))*12,3)-INT(ROUND((Output!D220/12-INT(Output!D220/12))*12,3)),1/8)=0,"",VLOOKUP(MROUND((Output!D220/12-INT(Output!D220/12))*12-INT((Output!D220/12-INT(Output!D220/12))*12),1/8),fract[],2,FALSE))&amp;"''",""),"")</f>
        <v/>
      </c>
      <c r="E221" s="9" t="str">
        <f>IF(ISNUMBER(Output!E220),IF(Output!E220&gt;=12,IFERROR(ROUND(INT(Output!E220)/12,0)&amp;"'-"&amp;INT(ROUND((Output!E220/12-INT(Output!E220/12))*12,2))&amp;" "&amp;IF(MROUND(ROUND((Output!E220/12-INT(Output!E220/12))*12,3)-INT(ROUND((Output!E220/12-INT(Output!E220/12))*12,3)),1/8)=0,"",VLOOKUP(MROUND((Output!E220/12-INT(Output!E220/12))*12-INT((Output!E220/12-INT(Output!E220/12))*12),1/8),fract[],2,FALSE))&amp;"''",""),IFERROR(INT(Output!E220)&amp;" "&amp;IF(MROUND((Output!E220-INT(Output!E220)),1/8)=0,"",VLOOKUP(MROUND((Output!E220-INT(Output!E220)),1/8),fract[],2,FALSE))&amp;"''","")),"")</f>
        <v/>
      </c>
      <c r="F221" s="8"/>
      <c r="G221" s="8"/>
      <c r="H221" s="9" t="str">
        <f t="shared" si="6"/>
        <v/>
      </c>
      <c r="I221" s="9" t="str">
        <f t="shared" si="7"/>
        <v/>
      </c>
      <c r="J221" s="12" t="str">
        <f>IF(ISNUMBER(Output!F220),Output!F220,"")</f>
        <v/>
      </c>
      <c r="K221" s="12" t="str">
        <f>IF(ISNUMBER(Output!G220),Output!G220,"")</f>
        <v/>
      </c>
    </row>
    <row r="222" spans="1:11" x14ac:dyDescent="0.25">
      <c r="A222" s="9" t="str">
        <f>IF(ISBLANK(Output!A221),"",Output!A221)</f>
        <v/>
      </c>
      <c r="B222" s="9" t="str">
        <f>IF(ISBLANK(Output!B221),"",Output!B221)</f>
        <v/>
      </c>
      <c r="C222" s="9" t="str">
        <f>IF(ISNUMBER(Output!C221),IF(Output!C221&gt;=12,IFERROR(ROUND(INT(Output!C221)/12,0)&amp;"'-"&amp;INT(ROUND((Output!C221/12-INT(Output!C221/12))*12,2))&amp;" "&amp;IF(MROUND(ROUND((Output!C221/12-INT(Output!C221/12))*12,3)-INT(ROUND((Output!C221/12-INT(Output!C221/12))*12,3)),1/8)=0,"",VLOOKUP(MROUND((Output!C221/12-INT(Output!C221/12))*12-INT((Output!C221/12-INT(Output!C221/12))*12),1/8),fract[],2,FALSE))&amp;"''",""),IFERROR(INT(Output!C221)&amp;" "&amp;IF(MROUND((Output!C221-INT(Output!C221)),1/8)=0,"",VLOOKUP(MROUND((Output!C221-INT(Output!C221)),1/8),fract[],2,FALSE))&amp;"''","")),"")</f>
        <v/>
      </c>
      <c r="D222" s="9" t="str">
        <f>IF(ISNUMBER(Output!D221),IFERROR(ROUND(INT(Output!D221/12),3)&amp;"'-"&amp;INT(ROUND((Output!D221/12-INT(Output!D221/12))*12,3))&amp;" "&amp;IF(MROUND(ROUND((Output!D221/12-INT(Output!D221/12))*12,3)-INT(ROUND((Output!D221/12-INT(Output!D221/12))*12,3)),1/8)=0,"",VLOOKUP(MROUND((Output!D221/12-INT(Output!D221/12))*12-INT((Output!D221/12-INT(Output!D221/12))*12),1/8),fract[],2,FALSE))&amp;"''",""),"")</f>
        <v/>
      </c>
      <c r="E222" s="9" t="str">
        <f>IF(ISNUMBER(Output!E221),IF(Output!E221&gt;=12,IFERROR(ROUND(INT(Output!E221)/12,0)&amp;"'-"&amp;INT(ROUND((Output!E221/12-INT(Output!E221/12))*12,2))&amp;" "&amp;IF(MROUND(ROUND((Output!E221/12-INT(Output!E221/12))*12,3)-INT(ROUND((Output!E221/12-INT(Output!E221/12))*12,3)),1/8)=0,"",VLOOKUP(MROUND((Output!E221/12-INT(Output!E221/12))*12-INT((Output!E221/12-INT(Output!E221/12))*12),1/8),fract[],2,FALSE))&amp;"''",""),IFERROR(INT(Output!E221)&amp;" "&amp;IF(MROUND((Output!E221-INT(Output!E221)),1/8)=0,"",VLOOKUP(MROUND((Output!E221-INT(Output!E221)),1/8),fract[],2,FALSE))&amp;"''","")),"")</f>
        <v/>
      </c>
      <c r="F222" s="8"/>
      <c r="G222" s="8"/>
      <c r="H222" s="9" t="str">
        <f t="shared" si="6"/>
        <v/>
      </c>
      <c r="I222" s="9" t="str">
        <f t="shared" si="7"/>
        <v/>
      </c>
      <c r="J222" s="12" t="str">
        <f>IF(ISNUMBER(Output!F221),Output!F221,"")</f>
        <v/>
      </c>
      <c r="K222" s="12" t="str">
        <f>IF(ISNUMBER(Output!G221),Output!G221,"")</f>
        <v/>
      </c>
    </row>
    <row r="223" spans="1:11" x14ac:dyDescent="0.25">
      <c r="A223" s="9" t="str">
        <f>IF(ISBLANK(Output!A222),"",Output!A222)</f>
        <v/>
      </c>
      <c r="B223" s="9" t="str">
        <f>IF(ISBLANK(Output!B222),"",Output!B222)</f>
        <v/>
      </c>
      <c r="C223" s="9" t="str">
        <f>IF(ISNUMBER(Output!C222),IF(Output!C222&gt;=12,IFERROR(ROUND(INT(Output!C222)/12,0)&amp;"'-"&amp;INT(ROUND((Output!C222/12-INT(Output!C222/12))*12,2))&amp;" "&amp;IF(MROUND(ROUND((Output!C222/12-INT(Output!C222/12))*12,3)-INT(ROUND((Output!C222/12-INT(Output!C222/12))*12,3)),1/8)=0,"",VLOOKUP(MROUND((Output!C222/12-INT(Output!C222/12))*12-INT((Output!C222/12-INT(Output!C222/12))*12),1/8),fract[],2,FALSE))&amp;"''",""),IFERROR(INT(Output!C222)&amp;" "&amp;IF(MROUND((Output!C222-INT(Output!C222)),1/8)=0,"",VLOOKUP(MROUND((Output!C222-INT(Output!C222)),1/8),fract[],2,FALSE))&amp;"''","")),"")</f>
        <v/>
      </c>
      <c r="D223" s="9" t="str">
        <f>IF(ISNUMBER(Output!D222),IFERROR(ROUND(INT(Output!D222/12),3)&amp;"'-"&amp;INT(ROUND((Output!D222/12-INT(Output!D222/12))*12,3))&amp;" "&amp;IF(MROUND(ROUND((Output!D222/12-INT(Output!D222/12))*12,3)-INT(ROUND((Output!D222/12-INT(Output!D222/12))*12,3)),1/8)=0,"",VLOOKUP(MROUND((Output!D222/12-INT(Output!D222/12))*12-INT((Output!D222/12-INT(Output!D222/12))*12),1/8),fract[],2,FALSE))&amp;"''",""),"")</f>
        <v/>
      </c>
      <c r="E223" s="9" t="str">
        <f>IF(ISNUMBER(Output!E222),IF(Output!E222&gt;=12,IFERROR(ROUND(INT(Output!E222)/12,0)&amp;"'-"&amp;INT(ROUND((Output!E222/12-INT(Output!E222/12))*12,2))&amp;" "&amp;IF(MROUND(ROUND((Output!E222/12-INT(Output!E222/12))*12,3)-INT(ROUND((Output!E222/12-INT(Output!E222/12))*12,3)),1/8)=0,"",VLOOKUP(MROUND((Output!E222/12-INT(Output!E222/12))*12-INT((Output!E222/12-INT(Output!E222/12))*12),1/8),fract[],2,FALSE))&amp;"''",""),IFERROR(INT(Output!E222)&amp;" "&amp;IF(MROUND((Output!E222-INT(Output!E222)),1/8)=0,"",VLOOKUP(MROUND((Output!E222-INT(Output!E222)),1/8),fract[],2,FALSE))&amp;"''","")),"")</f>
        <v/>
      </c>
      <c r="F223" s="8"/>
      <c r="G223" s="8"/>
      <c r="H223" s="9" t="str">
        <f t="shared" si="6"/>
        <v/>
      </c>
      <c r="I223" s="9" t="str">
        <f t="shared" si="7"/>
        <v/>
      </c>
      <c r="J223" s="12" t="str">
        <f>IF(ISNUMBER(Output!F222),Output!F222,"")</f>
        <v/>
      </c>
      <c r="K223" s="12" t="str">
        <f>IF(ISNUMBER(Output!G222),Output!G222,"")</f>
        <v/>
      </c>
    </row>
    <row r="224" spans="1:11" x14ac:dyDescent="0.25">
      <c r="A224" s="9" t="str">
        <f>IF(ISBLANK(Output!A223),"",Output!A223)</f>
        <v/>
      </c>
      <c r="B224" s="9" t="str">
        <f>IF(ISBLANK(Output!B223),"",Output!B223)</f>
        <v/>
      </c>
      <c r="C224" s="9" t="str">
        <f>IF(ISNUMBER(Output!C223),IF(Output!C223&gt;=12,IFERROR(ROUND(INT(Output!C223)/12,0)&amp;"'-"&amp;INT(ROUND((Output!C223/12-INT(Output!C223/12))*12,2))&amp;" "&amp;IF(MROUND(ROUND((Output!C223/12-INT(Output!C223/12))*12,3)-INT(ROUND((Output!C223/12-INT(Output!C223/12))*12,3)),1/8)=0,"",VLOOKUP(MROUND((Output!C223/12-INT(Output!C223/12))*12-INT((Output!C223/12-INT(Output!C223/12))*12),1/8),fract[],2,FALSE))&amp;"''",""),IFERROR(INT(Output!C223)&amp;" "&amp;IF(MROUND((Output!C223-INT(Output!C223)),1/8)=0,"",VLOOKUP(MROUND((Output!C223-INT(Output!C223)),1/8),fract[],2,FALSE))&amp;"''","")),"")</f>
        <v/>
      </c>
      <c r="D224" s="9" t="str">
        <f>IF(ISNUMBER(Output!D223),IFERROR(ROUND(INT(Output!D223/12),3)&amp;"'-"&amp;INT(ROUND((Output!D223/12-INT(Output!D223/12))*12,3))&amp;" "&amp;IF(MROUND(ROUND((Output!D223/12-INT(Output!D223/12))*12,3)-INT(ROUND((Output!D223/12-INT(Output!D223/12))*12,3)),1/8)=0,"",VLOOKUP(MROUND((Output!D223/12-INT(Output!D223/12))*12-INT((Output!D223/12-INT(Output!D223/12))*12),1/8),fract[],2,FALSE))&amp;"''",""),"")</f>
        <v/>
      </c>
      <c r="E224" s="9" t="str">
        <f>IF(ISNUMBER(Output!E223),IF(Output!E223&gt;=12,IFERROR(ROUND(INT(Output!E223)/12,0)&amp;"'-"&amp;INT(ROUND((Output!E223/12-INT(Output!E223/12))*12,2))&amp;" "&amp;IF(MROUND(ROUND((Output!E223/12-INT(Output!E223/12))*12,3)-INT(ROUND((Output!E223/12-INT(Output!E223/12))*12,3)),1/8)=0,"",VLOOKUP(MROUND((Output!E223/12-INT(Output!E223/12))*12-INT((Output!E223/12-INT(Output!E223/12))*12),1/8),fract[],2,FALSE))&amp;"''",""),IFERROR(INT(Output!E223)&amp;" "&amp;IF(MROUND((Output!E223-INT(Output!E223)),1/8)=0,"",VLOOKUP(MROUND((Output!E223-INT(Output!E223)),1/8),fract[],2,FALSE))&amp;"''","")),"")</f>
        <v/>
      </c>
      <c r="F224" s="8"/>
      <c r="G224" s="8"/>
      <c r="H224" s="9" t="str">
        <f t="shared" si="6"/>
        <v/>
      </c>
      <c r="I224" s="9" t="str">
        <f t="shared" si="7"/>
        <v/>
      </c>
      <c r="J224" s="12" t="str">
        <f>IF(ISNUMBER(Output!F223),Output!F223,"")</f>
        <v/>
      </c>
      <c r="K224" s="12" t="str">
        <f>IF(ISNUMBER(Output!G223),Output!G223,"")</f>
        <v/>
      </c>
    </row>
    <row r="225" spans="1:11" x14ac:dyDescent="0.25">
      <c r="A225" s="9" t="str">
        <f>IF(ISBLANK(Output!A224),"",Output!A224)</f>
        <v/>
      </c>
      <c r="B225" s="9" t="str">
        <f>IF(ISBLANK(Output!B224),"",Output!B224)</f>
        <v/>
      </c>
      <c r="C225" s="9" t="str">
        <f>IF(ISNUMBER(Output!C224),IF(Output!C224&gt;=12,IFERROR(ROUND(INT(Output!C224)/12,0)&amp;"'-"&amp;INT(ROUND((Output!C224/12-INT(Output!C224/12))*12,2))&amp;" "&amp;IF(MROUND(ROUND((Output!C224/12-INT(Output!C224/12))*12,3)-INT(ROUND((Output!C224/12-INT(Output!C224/12))*12,3)),1/8)=0,"",VLOOKUP(MROUND((Output!C224/12-INT(Output!C224/12))*12-INT((Output!C224/12-INT(Output!C224/12))*12),1/8),fract[],2,FALSE))&amp;"''",""),IFERROR(INT(Output!C224)&amp;" "&amp;IF(MROUND((Output!C224-INT(Output!C224)),1/8)=0,"",VLOOKUP(MROUND((Output!C224-INT(Output!C224)),1/8),fract[],2,FALSE))&amp;"''","")),"")</f>
        <v/>
      </c>
      <c r="D225" s="9" t="str">
        <f>IF(ISNUMBER(Output!D224),IFERROR(ROUND(INT(Output!D224/12),3)&amp;"'-"&amp;INT(ROUND((Output!D224/12-INT(Output!D224/12))*12,3))&amp;" "&amp;IF(MROUND(ROUND((Output!D224/12-INT(Output!D224/12))*12,3)-INT(ROUND((Output!D224/12-INT(Output!D224/12))*12,3)),1/8)=0,"",VLOOKUP(MROUND((Output!D224/12-INT(Output!D224/12))*12-INT((Output!D224/12-INT(Output!D224/12))*12),1/8),fract[],2,FALSE))&amp;"''",""),"")</f>
        <v/>
      </c>
      <c r="E225" s="9" t="str">
        <f>IF(ISNUMBER(Output!E224),IF(Output!E224&gt;=12,IFERROR(ROUND(INT(Output!E224)/12,0)&amp;"'-"&amp;INT(ROUND((Output!E224/12-INT(Output!E224/12))*12,2))&amp;" "&amp;IF(MROUND(ROUND((Output!E224/12-INT(Output!E224/12))*12,3)-INT(ROUND((Output!E224/12-INT(Output!E224/12))*12,3)),1/8)=0,"",VLOOKUP(MROUND((Output!E224/12-INT(Output!E224/12))*12-INT((Output!E224/12-INT(Output!E224/12))*12),1/8),fract[],2,FALSE))&amp;"''",""),IFERROR(INT(Output!E224)&amp;" "&amp;IF(MROUND((Output!E224-INT(Output!E224)),1/8)=0,"",VLOOKUP(MROUND((Output!E224-INT(Output!E224)),1/8),fract[],2,FALSE))&amp;"''","")),"")</f>
        <v/>
      </c>
      <c r="F225" s="8"/>
      <c r="G225" s="8"/>
      <c r="H225" s="9" t="str">
        <f t="shared" si="6"/>
        <v/>
      </c>
      <c r="I225" s="9" t="str">
        <f t="shared" si="7"/>
        <v/>
      </c>
      <c r="J225" s="12" t="str">
        <f>IF(ISNUMBER(Output!F224),Output!F224,"")</f>
        <v/>
      </c>
      <c r="K225" s="12" t="str">
        <f>IF(ISNUMBER(Output!G224),Output!G224,"")</f>
        <v/>
      </c>
    </row>
    <row r="226" spans="1:11" x14ac:dyDescent="0.25">
      <c r="A226" s="9" t="str">
        <f>IF(ISBLANK(Output!A225),"",Output!A225)</f>
        <v/>
      </c>
      <c r="B226" s="9" t="str">
        <f>IF(ISBLANK(Output!B225),"",Output!B225)</f>
        <v/>
      </c>
      <c r="C226" s="9" t="str">
        <f>IF(ISNUMBER(Output!C225),IF(Output!C225&gt;=12,IFERROR(ROUND(INT(Output!C225)/12,0)&amp;"'-"&amp;INT(ROUND((Output!C225/12-INT(Output!C225/12))*12,2))&amp;" "&amp;IF(MROUND(ROUND((Output!C225/12-INT(Output!C225/12))*12,3)-INT(ROUND((Output!C225/12-INT(Output!C225/12))*12,3)),1/8)=0,"",VLOOKUP(MROUND((Output!C225/12-INT(Output!C225/12))*12-INT((Output!C225/12-INT(Output!C225/12))*12),1/8),fract[],2,FALSE))&amp;"''",""),IFERROR(INT(Output!C225)&amp;" "&amp;IF(MROUND((Output!C225-INT(Output!C225)),1/8)=0,"",VLOOKUP(MROUND((Output!C225-INT(Output!C225)),1/8),fract[],2,FALSE))&amp;"''","")),"")</f>
        <v/>
      </c>
      <c r="D226" s="9" t="str">
        <f>IF(ISNUMBER(Output!D225),IFERROR(ROUND(INT(Output!D225/12),3)&amp;"'-"&amp;INT(ROUND((Output!D225/12-INT(Output!D225/12))*12,3))&amp;" "&amp;IF(MROUND(ROUND((Output!D225/12-INT(Output!D225/12))*12,3)-INT(ROUND((Output!D225/12-INT(Output!D225/12))*12,3)),1/8)=0,"",VLOOKUP(MROUND((Output!D225/12-INT(Output!D225/12))*12-INT((Output!D225/12-INT(Output!D225/12))*12),1/8),fract[],2,FALSE))&amp;"''",""),"")</f>
        <v/>
      </c>
      <c r="E226" s="9" t="str">
        <f>IF(ISNUMBER(Output!E225),IF(Output!E225&gt;=12,IFERROR(ROUND(INT(Output!E225)/12,0)&amp;"'-"&amp;INT(ROUND((Output!E225/12-INT(Output!E225/12))*12,2))&amp;" "&amp;IF(MROUND(ROUND((Output!E225/12-INT(Output!E225/12))*12,3)-INT(ROUND((Output!E225/12-INT(Output!E225/12))*12,3)),1/8)=0,"",VLOOKUP(MROUND((Output!E225/12-INT(Output!E225/12))*12-INT((Output!E225/12-INT(Output!E225/12))*12),1/8),fract[],2,FALSE))&amp;"''",""),IFERROR(INT(Output!E225)&amp;" "&amp;IF(MROUND((Output!E225-INT(Output!E225)),1/8)=0,"",VLOOKUP(MROUND((Output!E225-INT(Output!E225)),1/8),fract[],2,FALSE))&amp;"''","")),"")</f>
        <v/>
      </c>
      <c r="F226" s="8"/>
      <c r="G226" s="8"/>
      <c r="H226" s="9" t="str">
        <f t="shared" si="6"/>
        <v/>
      </c>
      <c r="I226" s="9" t="str">
        <f t="shared" si="7"/>
        <v/>
      </c>
      <c r="J226" s="12" t="str">
        <f>IF(ISNUMBER(Output!F225),Output!F225,"")</f>
        <v/>
      </c>
      <c r="K226" s="12" t="str">
        <f>IF(ISNUMBER(Output!G225),Output!G225,"")</f>
        <v/>
      </c>
    </row>
    <row r="227" spans="1:11" x14ac:dyDescent="0.25">
      <c r="A227" s="9" t="str">
        <f>IF(ISBLANK(Output!A226),"",Output!A226)</f>
        <v/>
      </c>
      <c r="B227" s="9" t="str">
        <f>IF(ISBLANK(Output!B226),"",Output!B226)</f>
        <v/>
      </c>
      <c r="C227" s="9" t="str">
        <f>IF(ISNUMBER(Output!C226),IF(Output!C226&gt;=12,IFERROR(ROUND(INT(Output!C226)/12,0)&amp;"'-"&amp;INT(ROUND((Output!C226/12-INT(Output!C226/12))*12,2))&amp;" "&amp;IF(MROUND(ROUND((Output!C226/12-INT(Output!C226/12))*12,3)-INT(ROUND((Output!C226/12-INT(Output!C226/12))*12,3)),1/8)=0,"",VLOOKUP(MROUND((Output!C226/12-INT(Output!C226/12))*12-INT((Output!C226/12-INT(Output!C226/12))*12),1/8),fract[],2,FALSE))&amp;"''",""),IFERROR(INT(Output!C226)&amp;" "&amp;IF(MROUND((Output!C226-INT(Output!C226)),1/8)=0,"",VLOOKUP(MROUND((Output!C226-INT(Output!C226)),1/8),fract[],2,FALSE))&amp;"''","")),"")</f>
        <v/>
      </c>
      <c r="D227" s="9" t="str">
        <f>IF(ISNUMBER(Output!D226),IFERROR(ROUND(INT(Output!D226/12),3)&amp;"'-"&amp;INT(ROUND((Output!D226/12-INT(Output!D226/12))*12,3))&amp;" "&amp;IF(MROUND(ROUND((Output!D226/12-INT(Output!D226/12))*12,3)-INT(ROUND((Output!D226/12-INT(Output!D226/12))*12,3)),1/8)=0,"",VLOOKUP(MROUND((Output!D226/12-INT(Output!D226/12))*12-INT((Output!D226/12-INT(Output!D226/12))*12),1/8),fract[],2,FALSE))&amp;"''",""),"")</f>
        <v/>
      </c>
      <c r="E227" s="9" t="str">
        <f>IF(ISNUMBER(Output!E226),IF(Output!E226&gt;=12,IFERROR(ROUND(INT(Output!E226)/12,0)&amp;"'-"&amp;INT(ROUND((Output!E226/12-INT(Output!E226/12))*12,2))&amp;" "&amp;IF(MROUND(ROUND((Output!E226/12-INT(Output!E226/12))*12,3)-INT(ROUND((Output!E226/12-INT(Output!E226/12))*12,3)),1/8)=0,"",VLOOKUP(MROUND((Output!E226/12-INT(Output!E226/12))*12-INT((Output!E226/12-INT(Output!E226/12))*12),1/8),fract[],2,FALSE))&amp;"''",""),IFERROR(INT(Output!E226)&amp;" "&amp;IF(MROUND((Output!E226-INT(Output!E226)),1/8)=0,"",VLOOKUP(MROUND((Output!E226-INT(Output!E226)),1/8),fract[],2,FALSE))&amp;"''","")),"")</f>
        <v/>
      </c>
      <c r="F227" s="8"/>
      <c r="G227" s="8"/>
      <c r="H227" s="9" t="str">
        <f t="shared" si="6"/>
        <v/>
      </c>
      <c r="I227" s="9" t="str">
        <f t="shared" si="7"/>
        <v/>
      </c>
      <c r="J227" s="12" t="str">
        <f>IF(ISNUMBER(Output!F226),Output!F226,"")</f>
        <v/>
      </c>
      <c r="K227" s="12" t="str">
        <f>IF(ISNUMBER(Output!G226),Output!G226,"")</f>
        <v/>
      </c>
    </row>
    <row r="228" spans="1:11" x14ac:dyDescent="0.25">
      <c r="A228" s="9" t="str">
        <f>IF(ISBLANK(Output!A227),"",Output!A227)</f>
        <v/>
      </c>
      <c r="B228" s="9" t="str">
        <f>IF(ISBLANK(Output!B227),"",Output!B227)</f>
        <v/>
      </c>
      <c r="C228" s="9" t="str">
        <f>IF(ISNUMBER(Output!C227),IF(Output!C227&gt;=12,IFERROR(ROUND(INT(Output!C227)/12,0)&amp;"'-"&amp;INT(ROUND((Output!C227/12-INT(Output!C227/12))*12,2))&amp;" "&amp;IF(MROUND(ROUND((Output!C227/12-INT(Output!C227/12))*12,3)-INT(ROUND((Output!C227/12-INT(Output!C227/12))*12,3)),1/8)=0,"",VLOOKUP(MROUND((Output!C227/12-INT(Output!C227/12))*12-INT((Output!C227/12-INT(Output!C227/12))*12),1/8),fract[],2,FALSE))&amp;"''",""),IFERROR(INT(Output!C227)&amp;" "&amp;IF(MROUND((Output!C227-INT(Output!C227)),1/8)=0,"",VLOOKUP(MROUND((Output!C227-INT(Output!C227)),1/8),fract[],2,FALSE))&amp;"''","")),"")</f>
        <v/>
      </c>
      <c r="D228" s="9" t="str">
        <f>IF(ISNUMBER(Output!D227),IFERROR(ROUND(INT(Output!D227/12),3)&amp;"'-"&amp;INT(ROUND((Output!D227/12-INT(Output!D227/12))*12,3))&amp;" "&amp;IF(MROUND(ROUND((Output!D227/12-INT(Output!D227/12))*12,3)-INT(ROUND((Output!D227/12-INT(Output!D227/12))*12,3)),1/8)=0,"",VLOOKUP(MROUND((Output!D227/12-INT(Output!D227/12))*12-INT((Output!D227/12-INT(Output!D227/12))*12),1/8),fract[],2,FALSE))&amp;"''",""),"")</f>
        <v/>
      </c>
      <c r="E228" s="9" t="str">
        <f>IF(ISNUMBER(Output!E227),IF(Output!E227&gt;=12,IFERROR(ROUND(INT(Output!E227)/12,0)&amp;"'-"&amp;INT(ROUND((Output!E227/12-INT(Output!E227/12))*12,2))&amp;" "&amp;IF(MROUND(ROUND((Output!E227/12-INT(Output!E227/12))*12,3)-INT(ROUND((Output!E227/12-INT(Output!E227/12))*12,3)),1/8)=0,"",VLOOKUP(MROUND((Output!E227/12-INT(Output!E227/12))*12-INT((Output!E227/12-INT(Output!E227/12))*12),1/8),fract[],2,FALSE))&amp;"''",""),IFERROR(INT(Output!E227)&amp;" "&amp;IF(MROUND((Output!E227-INT(Output!E227)),1/8)=0,"",VLOOKUP(MROUND((Output!E227-INT(Output!E227)),1/8),fract[],2,FALSE))&amp;"''","")),"")</f>
        <v/>
      </c>
      <c r="F228" s="8"/>
      <c r="G228" s="8"/>
      <c r="H228" s="9" t="str">
        <f t="shared" si="6"/>
        <v/>
      </c>
      <c r="I228" s="9" t="str">
        <f t="shared" si="7"/>
        <v/>
      </c>
      <c r="J228" s="12" t="str">
        <f>IF(ISNUMBER(Output!F227),Output!F227,"")</f>
        <v/>
      </c>
      <c r="K228" s="12" t="str">
        <f>IF(ISNUMBER(Output!G227),Output!G227,"")</f>
        <v/>
      </c>
    </row>
    <row r="229" spans="1:11" x14ac:dyDescent="0.25">
      <c r="A229" s="9" t="str">
        <f>IF(ISBLANK(Output!A228),"",Output!A228)</f>
        <v/>
      </c>
      <c r="B229" s="9" t="str">
        <f>IF(ISBLANK(Output!B228),"",Output!B228)</f>
        <v/>
      </c>
      <c r="C229" s="9" t="str">
        <f>IF(ISNUMBER(Output!C228),IF(Output!C228&gt;=12,IFERROR(ROUND(INT(Output!C228)/12,0)&amp;"'-"&amp;INT(ROUND((Output!C228/12-INT(Output!C228/12))*12,2))&amp;" "&amp;IF(MROUND(ROUND((Output!C228/12-INT(Output!C228/12))*12,3)-INT(ROUND((Output!C228/12-INT(Output!C228/12))*12,3)),1/8)=0,"",VLOOKUP(MROUND((Output!C228/12-INT(Output!C228/12))*12-INT((Output!C228/12-INT(Output!C228/12))*12),1/8),fract[],2,FALSE))&amp;"''",""),IFERROR(INT(Output!C228)&amp;" "&amp;IF(MROUND((Output!C228-INT(Output!C228)),1/8)=0,"",VLOOKUP(MROUND((Output!C228-INT(Output!C228)),1/8),fract[],2,FALSE))&amp;"''","")),"")</f>
        <v/>
      </c>
      <c r="D229" s="9" t="str">
        <f>IF(ISNUMBER(Output!D228),IFERROR(ROUND(INT(Output!D228/12),3)&amp;"'-"&amp;INT(ROUND((Output!D228/12-INT(Output!D228/12))*12,3))&amp;" "&amp;IF(MROUND(ROUND((Output!D228/12-INT(Output!D228/12))*12,3)-INT(ROUND((Output!D228/12-INT(Output!D228/12))*12,3)),1/8)=0,"",VLOOKUP(MROUND((Output!D228/12-INT(Output!D228/12))*12-INT((Output!D228/12-INT(Output!D228/12))*12),1/8),fract[],2,FALSE))&amp;"''",""),"")</f>
        <v/>
      </c>
      <c r="E229" s="9" t="str">
        <f>IF(ISNUMBER(Output!E228),IF(Output!E228&gt;=12,IFERROR(ROUND(INT(Output!E228)/12,0)&amp;"'-"&amp;INT(ROUND((Output!E228/12-INT(Output!E228/12))*12,2))&amp;" "&amp;IF(MROUND(ROUND((Output!E228/12-INT(Output!E228/12))*12,3)-INT(ROUND((Output!E228/12-INT(Output!E228/12))*12,3)),1/8)=0,"",VLOOKUP(MROUND((Output!E228/12-INT(Output!E228/12))*12-INT((Output!E228/12-INT(Output!E228/12))*12),1/8),fract[],2,FALSE))&amp;"''",""),IFERROR(INT(Output!E228)&amp;" "&amp;IF(MROUND((Output!E228-INT(Output!E228)),1/8)=0,"",VLOOKUP(MROUND((Output!E228-INT(Output!E228)),1/8),fract[],2,FALSE))&amp;"''","")),"")</f>
        <v/>
      </c>
      <c r="F229" s="8"/>
      <c r="G229" s="8"/>
      <c r="H229" s="9" t="str">
        <f t="shared" si="6"/>
        <v/>
      </c>
      <c r="I229" s="9" t="str">
        <f t="shared" si="7"/>
        <v/>
      </c>
      <c r="J229" s="12" t="str">
        <f>IF(ISNUMBER(Output!F228),Output!F228,"")</f>
        <v/>
      </c>
      <c r="K229" s="12" t="str">
        <f>IF(ISNUMBER(Output!G228),Output!G228,"")</f>
        <v/>
      </c>
    </row>
    <row r="230" spans="1:11" x14ac:dyDescent="0.25">
      <c r="A230" s="9" t="str">
        <f>IF(ISBLANK(Output!A229),"",Output!A229)</f>
        <v/>
      </c>
      <c r="B230" s="9" t="str">
        <f>IF(ISBLANK(Output!B229),"",Output!B229)</f>
        <v/>
      </c>
      <c r="C230" s="9" t="str">
        <f>IF(ISNUMBER(Output!C229),IF(Output!C229&gt;=12,IFERROR(ROUND(INT(Output!C229)/12,0)&amp;"'-"&amp;INT(ROUND((Output!C229/12-INT(Output!C229/12))*12,2))&amp;" "&amp;IF(MROUND(ROUND((Output!C229/12-INT(Output!C229/12))*12,3)-INT(ROUND((Output!C229/12-INT(Output!C229/12))*12,3)),1/8)=0,"",VLOOKUP(MROUND((Output!C229/12-INT(Output!C229/12))*12-INT((Output!C229/12-INT(Output!C229/12))*12),1/8),fract[],2,FALSE))&amp;"''",""),IFERROR(INT(Output!C229)&amp;" "&amp;IF(MROUND((Output!C229-INT(Output!C229)),1/8)=0,"",VLOOKUP(MROUND((Output!C229-INT(Output!C229)),1/8),fract[],2,FALSE))&amp;"''","")),"")</f>
        <v/>
      </c>
      <c r="D230" s="9" t="str">
        <f>IF(ISNUMBER(Output!D229),IFERROR(ROUND(INT(Output!D229/12),3)&amp;"'-"&amp;INT(ROUND((Output!D229/12-INT(Output!D229/12))*12,3))&amp;" "&amp;IF(MROUND(ROUND((Output!D229/12-INT(Output!D229/12))*12,3)-INT(ROUND((Output!D229/12-INT(Output!D229/12))*12,3)),1/8)=0,"",VLOOKUP(MROUND((Output!D229/12-INT(Output!D229/12))*12-INT((Output!D229/12-INT(Output!D229/12))*12),1/8),fract[],2,FALSE))&amp;"''",""),"")</f>
        <v/>
      </c>
      <c r="E230" s="9" t="str">
        <f>IF(ISNUMBER(Output!E229),IF(Output!E229&gt;=12,IFERROR(ROUND(INT(Output!E229)/12,0)&amp;"'-"&amp;INT(ROUND((Output!E229/12-INT(Output!E229/12))*12,2))&amp;" "&amp;IF(MROUND(ROUND((Output!E229/12-INT(Output!E229/12))*12,3)-INT(ROUND((Output!E229/12-INT(Output!E229/12))*12,3)),1/8)=0,"",VLOOKUP(MROUND((Output!E229/12-INT(Output!E229/12))*12-INT((Output!E229/12-INT(Output!E229/12))*12),1/8),fract[],2,FALSE))&amp;"''",""),IFERROR(INT(Output!E229)&amp;" "&amp;IF(MROUND((Output!E229-INT(Output!E229)),1/8)=0,"",VLOOKUP(MROUND((Output!E229-INT(Output!E229)),1/8),fract[],2,FALSE))&amp;"''","")),"")</f>
        <v/>
      </c>
      <c r="F230" s="8"/>
      <c r="G230" s="8"/>
      <c r="H230" s="9" t="str">
        <f t="shared" si="6"/>
        <v/>
      </c>
      <c r="I230" s="9" t="str">
        <f t="shared" si="7"/>
        <v/>
      </c>
      <c r="J230" s="12" t="str">
        <f>IF(ISNUMBER(Output!F229),Output!F229,"")</f>
        <v/>
      </c>
      <c r="K230" s="12" t="str">
        <f>IF(ISNUMBER(Output!G229),Output!G229,"")</f>
        <v/>
      </c>
    </row>
    <row r="231" spans="1:11" x14ac:dyDescent="0.25">
      <c r="A231" s="9" t="str">
        <f>IF(ISBLANK(Output!A230),"",Output!A230)</f>
        <v/>
      </c>
      <c r="B231" s="9" t="str">
        <f>IF(ISBLANK(Output!B230),"",Output!B230)</f>
        <v/>
      </c>
      <c r="C231" s="9" t="str">
        <f>IF(ISNUMBER(Output!C230),IF(Output!C230&gt;=12,IFERROR(ROUND(INT(Output!C230)/12,0)&amp;"'-"&amp;INT(ROUND((Output!C230/12-INT(Output!C230/12))*12,2))&amp;" "&amp;IF(MROUND(ROUND((Output!C230/12-INT(Output!C230/12))*12,3)-INT(ROUND((Output!C230/12-INT(Output!C230/12))*12,3)),1/8)=0,"",VLOOKUP(MROUND((Output!C230/12-INT(Output!C230/12))*12-INT((Output!C230/12-INT(Output!C230/12))*12),1/8),fract[],2,FALSE))&amp;"''",""),IFERROR(INT(Output!C230)&amp;" "&amp;IF(MROUND((Output!C230-INT(Output!C230)),1/8)=0,"",VLOOKUP(MROUND((Output!C230-INT(Output!C230)),1/8),fract[],2,FALSE))&amp;"''","")),"")</f>
        <v/>
      </c>
      <c r="D231" s="9" t="str">
        <f>IF(ISNUMBER(Output!D230),IFERROR(ROUND(INT(Output!D230/12),3)&amp;"'-"&amp;INT(ROUND((Output!D230/12-INT(Output!D230/12))*12,3))&amp;" "&amp;IF(MROUND(ROUND((Output!D230/12-INT(Output!D230/12))*12,3)-INT(ROUND((Output!D230/12-INT(Output!D230/12))*12,3)),1/8)=0,"",VLOOKUP(MROUND((Output!D230/12-INT(Output!D230/12))*12-INT((Output!D230/12-INT(Output!D230/12))*12),1/8),fract[],2,FALSE))&amp;"''",""),"")</f>
        <v/>
      </c>
      <c r="E231" s="9" t="str">
        <f>IF(ISNUMBER(Output!E230),IF(Output!E230&gt;=12,IFERROR(ROUND(INT(Output!E230)/12,0)&amp;"'-"&amp;INT(ROUND((Output!E230/12-INT(Output!E230/12))*12,2))&amp;" "&amp;IF(MROUND(ROUND((Output!E230/12-INT(Output!E230/12))*12,3)-INT(ROUND((Output!E230/12-INT(Output!E230/12))*12,3)),1/8)=0,"",VLOOKUP(MROUND((Output!E230/12-INT(Output!E230/12))*12-INT((Output!E230/12-INT(Output!E230/12))*12),1/8),fract[],2,FALSE))&amp;"''",""),IFERROR(INT(Output!E230)&amp;" "&amp;IF(MROUND((Output!E230-INT(Output!E230)),1/8)=0,"",VLOOKUP(MROUND((Output!E230-INT(Output!E230)),1/8),fract[],2,FALSE))&amp;"''","")),"")</f>
        <v/>
      </c>
      <c r="F231" s="8"/>
      <c r="G231" s="8"/>
      <c r="H231" s="9" t="str">
        <f t="shared" si="6"/>
        <v/>
      </c>
      <c r="I231" s="9" t="str">
        <f t="shared" si="7"/>
        <v/>
      </c>
      <c r="J231" s="12" t="str">
        <f>IF(ISNUMBER(Output!F230),Output!F230,"")</f>
        <v/>
      </c>
      <c r="K231" s="12" t="str">
        <f>IF(ISNUMBER(Output!G230),Output!G230,"")</f>
        <v/>
      </c>
    </row>
    <row r="232" spans="1:11" x14ac:dyDescent="0.25">
      <c r="A232" s="9" t="str">
        <f>IF(ISBLANK(Output!A231),"",Output!A231)</f>
        <v/>
      </c>
      <c r="B232" s="9" t="str">
        <f>IF(ISBLANK(Output!B231),"",Output!B231)</f>
        <v/>
      </c>
      <c r="C232" s="9" t="str">
        <f>IF(ISNUMBER(Output!C231),IF(Output!C231&gt;=12,IFERROR(ROUND(INT(Output!C231)/12,0)&amp;"'-"&amp;INT(ROUND((Output!C231/12-INT(Output!C231/12))*12,2))&amp;" "&amp;IF(MROUND(ROUND((Output!C231/12-INT(Output!C231/12))*12,3)-INT(ROUND((Output!C231/12-INT(Output!C231/12))*12,3)),1/8)=0,"",VLOOKUP(MROUND((Output!C231/12-INT(Output!C231/12))*12-INT((Output!C231/12-INT(Output!C231/12))*12),1/8),fract[],2,FALSE))&amp;"''",""),IFERROR(INT(Output!C231)&amp;" "&amp;IF(MROUND((Output!C231-INT(Output!C231)),1/8)=0,"",VLOOKUP(MROUND((Output!C231-INT(Output!C231)),1/8),fract[],2,FALSE))&amp;"''","")),"")</f>
        <v/>
      </c>
      <c r="D232" s="9" t="str">
        <f>IF(ISNUMBER(Output!D231),IFERROR(ROUND(INT(Output!D231/12),3)&amp;"'-"&amp;INT(ROUND((Output!D231/12-INT(Output!D231/12))*12,3))&amp;" "&amp;IF(MROUND(ROUND((Output!D231/12-INT(Output!D231/12))*12,3)-INT(ROUND((Output!D231/12-INT(Output!D231/12))*12,3)),1/8)=0,"",VLOOKUP(MROUND((Output!D231/12-INT(Output!D231/12))*12-INT((Output!D231/12-INT(Output!D231/12))*12),1/8),fract[],2,FALSE))&amp;"''",""),"")</f>
        <v/>
      </c>
      <c r="E232" s="9" t="str">
        <f>IF(ISNUMBER(Output!E231),IF(Output!E231&gt;=12,IFERROR(ROUND(INT(Output!E231)/12,0)&amp;"'-"&amp;INT(ROUND((Output!E231/12-INT(Output!E231/12))*12,2))&amp;" "&amp;IF(MROUND(ROUND((Output!E231/12-INT(Output!E231/12))*12,3)-INT(ROUND((Output!E231/12-INT(Output!E231/12))*12,3)),1/8)=0,"",VLOOKUP(MROUND((Output!E231/12-INT(Output!E231/12))*12-INT((Output!E231/12-INT(Output!E231/12))*12),1/8),fract[],2,FALSE))&amp;"''",""),IFERROR(INT(Output!E231)&amp;" "&amp;IF(MROUND((Output!E231-INT(Output!E231)),1/8)=0,"",VLOOKUP(MROUND((Output!E231-INT(Output!E231)),1/8),fract[],2,FALSE))&amp;"''","")),"")</f>
        <v/>
      </c>
      <c r="F232" s="8"/>
      <c r="G232" s="8"/>
      <c r="H232" s="9" t="str">
        <f t="shared" si="6"/>
        <v/>
      </c>
      <c r="I232" s="9" t="str">
        <f t="shared" si="7"/>
        <v/>
      </c>
      <c r="J232" s="12" t="str">
        <f>IF(ISNUMBER(Output!F231),Output!F231,"")</f>
        <v/>
      </c>
      <c r="K232" s="12" t="str">
        <f>IF(ISNUMBER(Output!G231),Output!G231,"")</f>
        <v/>
      </c>
    </row>
    <row r="233" spans="1:11" x14ac:dyDescent="0.25">
      <c r="A233" s="9" t="str">
        <f>IF(ISBLANK(Output!A232),"",Output!A232)</f>
        <v/>
      </c>
      <c r="B233" s="9" t="str">
        <f>IF(ISBLANK(Output!B232),"",Output!B232)</f>
        <v/>
      </c>
      <c r="C233" s="9" t="str">
        <f>IF(ISNUMBER(Output!C232),IF(Output!C232&gt;=12,IFERROR(ROUND(INT(Output!C232)/12,0)&amp;"'-"&amp;INT(ROUND((Output!C232/12-INT(Output!C232/12))*12,2))&amp;" "&amp;IF(MROUND(ROUND((Output!C232/12-INT(Output!C232/12))*12,3)-INT(ROUND((Output!C232/12-INT(Output!C232/12))*12,3)),1/8)=0,"",VLOOKUP(MROUND((Output!C232/12-INT(Output!C232/12))*12-INT((Output!C232/12-INT(Output!C232/12))*12),1/8),fract[],2,FALSE))&amp;"''",""),IFERROR(INT(Output!C232)&amp;" "&amp;IF(MROUND((Output!C232-INT(Output!C232)),1/8)=0,"",VLOOKUP(MROUND((Output!C232-INT(Output!C232)),1/8),fract[],2,FALSE))&amp;"''","")),"")</f>
        <v/>
      </c>
      <c r="D233" s="9" t="str">
        <f>IF(ISNUMBER(Output!D232),IFERROR(ROUND(INT(Output!D232/12),3)&amp;"'-"&amp;INT(ROUND((Output!D232/12-INT(Output!D232/12))*12,3))&amp;" "&amp;IF(MROUND(ROUND((Output!D232/12-INT(Output!D232/12))*12,3)-INT(ROUND((Output!D232/12-INT(Output!D232/12))*12,3)),1/8)=0,"",VLOOKUP(MROUND((Output!D232/12-INT(Output!D232/12))*12-INT((Output!D232/12-INT(Output!D232/12))*12),1/8),fract[],2,FALSE))&amp;"''",""),"")</f>
        <v/>
      </c>
      <c r="E233" s="9" t="str">
        <f>IF(ISNUMBER(Output!E232),IF(Output!E232&gt;=12,IFERROR(ROUND(INT(Output!E232)/12,0)&amp;"'-"&amp;INT(ROUND((Output!E232/12-INT(Output!E232/12))*12,2))&amp;" "&amp;IF(MROUND(ROUND((Output!E232/12-INT(Output!E232/12))*12,3)-INT(ROUND((Output!E232/12-INT(Output!E232/12))*12,3)),1/8)=0,"",VLOOKUP(MROUND((Output!E232/12-INT(Output!E232/12))*12-INT((Output!E232/12-INT(Output!E232/12))*12),1/8),fract[],2,FALSE))&amp;"''",""),IFERROR(INT(Output!E232)&amp;" "&amp;IF(MROUND((Output!E232-INT(Output!E232)),1/8)=0,"",VLOOKUP(MROUND((Output!E232-INT(Output!E232)),1/8),fract[],2,FALSE))&amp;"''","")),"")</f>
        <v/>
      </c>
      <c r="F233" s="8"/>
      <c r="G233" s="8"/>
      <c r="H233" s="9" t="str">
        <f t="shared" si="6"/>
        <v/>
      </c>
      <c r="I233" s="9" t="str">
        <f t="shared" si="7"/>
        <v/>
      </c>
      <c r="J233" s="12" t="str">
        <f>IF(ISNUMBER(Output!F232),Output!F232,"")</f>
        <v/>
      </c>
      <c r="K233" s="12" t="str">
        <f>IF(ISNUMBER(Output!G232),Output!G232,"")</f>
        <v/>
      </c>
    </row>
    <row r="234" spans="1:11" x14ac:dyDescent="0.25">
      <c r="A234" s="9" t="str">
        <f>IF(ISBLANK(Output!A233),"",Output!A233)</f>
        <v/>
      </c>
      <c r="B234" s="9" t="str">
        <f>IF(ISBLANK(Output!B233),"",Output!B233)</f>
        <v/>
      </c>
      <c r="C234" s="9" t="str">
        <f>IF(ISNUMBER(Output!C233),IF(Output!C233&gt;=12,IFERROR(ROUND(INT(Output!C233)/12,0)&amp;"'-"&amp;INT(ROUND((Output!C233/12-INT(Output!C233/12))*12,2))&amp;" "&amp;IF(MROUND(ROUND((Output!C233/12-INT(Output!C233/12))*12,3)-INT(ROUND((Output!C233/12-INT(Output!C233/12))*12,3)),1/8)=0,"",VLOOKUP(MROUND((Output!C233/12-INT(Output!C233/12))*12-INT((Output!C233/12-INT(Output!C233/12))*12),1/8),fract[],2,FALSE))&amp;"''",""),IFERROR(INT(Output!C233)&amp;" "&amp;IF(MROUND((Output!C233-INT(Output!C233)),1/8)=0,"",VLOOKUP(MROUND((Output!C233-INT(Output!C233)),1/8),fract[],2,FALSE))&amp;"''","")),"")</f>
        <v/>
      </c>
      <c r="D234" s="9" t="str">
        <f>IF(ISNUMBER(Output!D233),IFERROR(ROUND(INT(Output!D233/12),3)&amp;"'-"&amp;INT(ROUND((Output!D233/12-INT(Output!D233/12))*12,3))&amp;" "&amp;IF(MROUND(ROUND((Output!D233/12-INT(Output!D233/12))*12,3)-INT(ROUND((Output!D233/12-INT(Output!D233/12))*12,3)),1/8)=0,"",VLOOKUP(MROUND((Output!D233/12-INT(Output!D233/12))*12-INT((Output!D233/12-INT(Output!D233/12))*12),1/8),fract[],2,FALSE))&amp;"''",""),"")</f>
        <v/>
      </c>
      <c r="E234" s="9" t="str">
        <f>IF(ISNUMBER(Output!E233),IF(Output!E233&gt;=12,IFERROR(ROUND(INT(Output!E233)/12,0)&amp;"'-"&amp;INT(ROUND((Output!E233/12-INT(Output!E233/12))*12,2))&amp;" "&amp;IF(MROUND(ROUND((Output!E233/12-INT(Output!E233/12))*12,3)-INT(ROUND((Output!E233/12-INT(Output!E233/12))*12,3)),1/8)=0,"",VLOOKUP(MROUND((Output!E233/12-INT(Output!E233/12))*12-INT((Output!E233/12-INT(Output!E233/12))*12),1/8),fract[],2,FALSE))&amp;"''",""),IFERROR(INT(Output!E233)&amp;" "&amp;IF(MROUND((Output!E233-INT(Output!E233)),1/8)=0,"",VLOOKUP(MROUND((Output!E233-INT(Output!E233)),1/8),fract[],2,FALSE))&amp;"''","")),"")</f>
        <v/>
      </c>
      <c r="F234" s="8"/>
      <c r="G234" s="8"/>
      <c r="H234" s="9" t="str">
        <f t="shared" si="6"/>
        <v/>
      </c>
      <c r="I234" s="9" t="str">
        <f t="shared" si="7"/>
        <v/>
      </c>
      <c r="J234" s="12" t="str">
        <f>IF(ISNUMBER(Output!F233),Output!F233,"")</f>
        <v/>
      </c>
      <c r="K234" s="12" t="str">
        <f>IF(ISNUMBER(Output!G233),Output!G233,"")</f>
        <v/>
      </c>
    </row>
    <row r="235" spans="1:11" x14ac:dyDescent="0.25">
      <c r="A235" s="9" t="str">
        <f>IF(ISBLANK(Output!A234),"",Output!A234)</f>
        <v/>
      </c>
      <c r="B235" s="9" t="str">
        <f>IF(ISBLANK(Output!B234),"",Output!B234)</f>
        <v/>
      </c>
      <c r="C235" s="9" t="str">
        <f>IF(ISNUMBER(Output!C234),IF(Output!C234&gt;=12,IFERROR(ROUND(INT(Output!C234)/12,0)&amp;"'-"&amp;INT(ROUND((Output!C234/12-INT(Output!C234/12))*12,2))&amp;" "&amp;IF(MROUND(ROUND((Output!C234/12-INT(Output!C234/12))*12,3)-INT(ROUND((Output!C234/12-INT(Output!C234/12))*12,3)),1/8)=0,"",VLOOKUP(MROUND((Output!C234/12-INT(Output!C234/12))*12-INT((Output!C234/12-INT(Output!C234/12))*12),1/8),fract[],2,FALSE))&amp;"''",""),IFERROR(INT(Output!C234)&amp;" "&amp;IF(MROUND((Output!C234-INT(Output!C234)),1/8)=0,"",VLOOKUP(MROUND((Output!C234-INT(Output!C234)),1/8),fract[],2,FALSE))&amp;"''","")),"")</f>
        <v/>
      </c>
      <c r="D235" s="9" t="str">
        <f>IF(ISNUMBER(Output!D234),IFERROR(ROUND(INT(Output!D234/12),3)&amp;"'-"&amp;INT(ROUND((Output!D234/12-INT(Output!D234/12))*12,3))&amp;" "&amp;IF(MROUND(ROUND((Output!D234/12-INT(Output!D234/12))*12,3)-INT(ROUND((Output!D234/12-INT(Output!D234/12))*12,3)),1/8)=0,"",VLOOKUP(MROUND((Output!D234/12-INT(Output!D234/12))*12-INT((Output!D234/12-INT(Output!D234/12))*12),1/8),fract[],2,FALSE))&amp;"''",""),"")</f>
        <v/>
      </c>
      <c r="E235" s="9" t="str">
        <f>IF(ISNUMBER(Output!E234),IF(Output!E234&gt;=12,IFERROR(ROUND(INT(Output!E234)/12,0)&amp;"'-"&amp;INT(ROUND((Output!E234/12-INT(Output!E234/12))*12,2))&amp;" "&amp;IF(MROUND(ROUND((Output!E234/12-INT(Output!E234/12))*12,3)-INT(ROUND((Output!E234/12-INT(Output!E234/12))*12,3)),1/8)=0,"",VLOOKUP(MROUND((Output!E234/12-INT(Output!E234/12))*12-INT((Output!E234/12-INT(Output!E234/12))*12),1/8),fract[],2,FALSE))&amp;"''",""),IFERROR(INT(Output!E234)&amp;" "&amp;IF(MROUND((Output!E234-INT(Output!E234)),1/8)=0,"",VLOOKUP(MROUND((Output!E234-INT(Output!E234)),1/8),fract[],2,FALSE))&amp;"''","")),"")</f>
        <v/>
      </c>
      <c r="F235" s="8"/>
      <c r="G235" s="8"/>
      <c r="H235" s="9" t="str">
        <f t="shared" si="6"/>
        <v/>
      </c>
      <c r="I235" s="9" t="str">
        <f t="shared" si="7"/>
        <v/>
      </c>
      <c r="J235" s="12" t="str">
        <f>IF(ISNUMBER(Output!F234),Output!F234,"")</f>
        <v/>
      </c>
      <c r="K235" s="12" t="str">
        <f>IF(ISNUMBER(Output!G234),Output!G234,"")</f>
        <v/>
      </c>
    </row>
    <row r="236" spans="1:11" x14ac:dyDescent="0.25">
      <c r="A236" s="9" t="str">
        <f>IF(ISBLANK(Output!A235),"",Output!A235)</f>
        <v/>
      </c>
      <c r="B236" s="9" t="str">
        <f>IF(ISBLANK(Output!B235),"",Output!B235)</f>
        <v/>
      </c>
      <c r="C236" s="9" t="str">
        <f>IF(ISNUMBER(Output!C235),IF(Output!C235&gt;=12,IFERROR(ROUND(INT(Output!C235)/12,0)&amp;"'-"&amp;INT(ROUND((Output!C235/12-INT(Output!C235/12))*12,2))&amp;" "&amp;IF(MROUND(ROUND((Output!C235/12-INT(Output!C235/12))*12,3)-INT(ROUND((Output!C235/12-INT(Output!C235/12))*12,3)),1/8)=0,"",VLOOKUP(MROUND((Output!C235/12-INT(Output!C235/12))*12-INT((Output!C235/12-INT(Output!C235/12))*12),1/8),fract[],2,FALSE))&amp;"''",""),IFERROR(INT(Output!C235)&amp;" "&amp;IF(MROUND((Output!C235-INT(Output!C235)),1/8)=0,"",VLOOKUP(MROUND((Output!C235-INT(Output!C235)),1/8),fract[],2,FALSE))&amp;"''","")),"")</f>
        <v/>
      </c>
      <c r="D236" s="9" t="str">
        <f>IF(ISNUMBER(Output!D235),IFERROR(ROUND(INT(Output!D235/12),3)&amp;"'-"&amp;INT(ROUND((Output!D235/12-INT(Output!D235/12))*12,3))&amp;" "&amp;IF(MROUND(ROUND((Output!D235/12-INT(Output!D235/12))*12,3)-INT(ROUND((Output!D235/12-INT(Output!D235/12))*12,3)),1/8)=0,"",VLOOKUP(MROUND((Output!D235/12-INT(Output!D235/12))*12-INT((Output!D235/12-INT(Output!D235/12))*12),1/8),fract[],2,FALSE))&amp;"''",""),"")</f>
        <v/>
      </c>
      <c r="E236" s="9" t="str">
        <f>IF(ISNUMBER(Output!E235),IF(Output!E235&gt;=12,IFERROR(ROUND(INT(Output!E235)/12,0)&amp;"'-"&amp;INT(ROUND((Output!E235/12-INT(Output!E235/12))*12,2))&amp;" "&amp;IF(MROUND(ROUND((Output!E235/12-INT(Output!E235/12))*12,3)-INT(ROUND((Output!E235/12-INT(Output!E235/12))*12,3)),1/8)=0,"",VLOOKUP(MROUND((Output!E235/12-INT(Output!E235/12))*12-INT((Output!E235/12-INT(Output!E235/12))*12),1/8),fract[],2,FALSE))&amp;"''",""),IFERROR(INT(Output!E235)&amp;" "&amp;IF(MROUND((Output!E235-INT(Output!E235)),1/8)=0,"",VLOOKUP(MROUND((Output!E235-INT(Output!E235)),1/8),fract[],2,FALSE))&amp;"''","")),"")</f>
        <v/>
      </c>
      <c r="F236" s="8"/>
      <c r="G236" s="8"/>
      <c r="H236" s="9" t="str">
        <f t="shared" si="6"/>
        <v/>
      </c>
      <c r="I236" s="9" t="str">
        <f t="shared" si="7"/>
        <v/>
      </c>
      <c r="J236" s="12" t="str">
        <f>IF(ISNUMBER(Output!F235),Output!F235,"")</f>
        <v/>
      </c>
      <c r="K236" s="12" t="str">
        <f>IF(ISNUMBER(Output!G235),Output!G235,"")</f>
        <v/>
      </c>
    </row>
    <row r="237" spans="1:11" x14ac:dyDescent="0.25">
      <c r="A237" s="9" t="str">
        <f>IF(ISBLANK(Output!A236),"",Output!A236)</f>
        <v/>
      </c>
      <c r="B237" s="9" t="str">
        <f>IF(ISBLANK(Output!B236),"",Output!B236)</f>
        <v/>
      </c>
      <c r="C237" s="9" t="str">
        <f>IF(ISNUMBER(Output!C236),IF(Output!C236&gt;=12,IFERROR(ROUND(INT(Output!C236)/12,0)&amp;"'-"&amp;INT(ROUND((Output!C236/12-INT(Output!C236/12))*12,2))&amp;" "&amp;IF(MROUND(ROUND((Output!C236/12-INT(Output!C236/12))*12,3)-INT(ROUND((Output!C236/12-INT(Output!C236/12))*12,3)),1/8)=0,"",VLOOKUP(MROUND((Output!C236/12-INT(Output!C236/12))*12-INT((Output!C236/12-INT(Output!C236/12))*12),1/8),fract[],2,FALSE))&amp;"''",""),IFERROR(INT(Output!C236)&amp;" "&amp;IF(MROUND((Output!C236-INT(Output!C236)),1/8)=0,"",VLOOKUP(MROUND((Output!C236-INT(Output!C236)),1/8),fract[],2,FALSE))&amp;"''","")),"")</f>
        <v/>
      </c>
      <c r="D237" s="9" t="str">
        <f>IF(ISNUMBER(Output!D236),IFERROR(ROUND(INT(Output!D236/12),3)&amp;"'-"&amp;INT(ROUND((Output!D236/12-INT(Output!D236/12))*12,3))&amp;" "&amp;IF(MROUND(ROUND((Output!D236/12-INT(Output!D236/12))*12,3)-INT(ROUND((Output!D236/12-INT(Output!D236/12))*12,3)),1/8)=0,"",VLOOKUP(MROUND((Output!D236/12-INT(Output!D236/12))*12-INT((Output!D236/12-INT(Output!D236/12))*12),1/8),fract[],2,FALSE))&amp;"''",""),"")</f>
        <v/>
      </c>
      <c r="E237" s="9" t="str">
        <f>IF(ISNUMBER(Output!E236),IF(Output!E236&gt;=12,IFERROR(ROUND(INT(Output!E236)/12,0)&amp;"'-"&amp;INT(ROUND((Output!E236/12-INT(Output!E236/12))*12,2))&amp;" "&amp;IF(MROUND(ROUND((Output!E236/12-INT(Output!E236/12))*12,3)-INT(ROUND((Output!E236/12-INT(Output!E236/12))*12,3)),1/8)=0,"",VLOOKUP(MROUND((Output!E236/12-INT(Output!E236/12))*12-INT((Output!E236/12-INT(Output!E236/12))*12),1/8),fract[],2,FALSE))&amp;"''",""),IFERROR(INT(Output!E236)&amp;" "&amp;IF(MROUND((Output!E236-INT(Output!E236)),1/8)=0,"",VLOOKUP(MROUND((Output!E236-INT(Output!E236)),1/8),fract[],2,FALSE))&amp;"''","")),"")</f>
        <v/>
      </c>
      <c r="F237" s="8"/>
      <c r="G237" s="8"/>
      <c r="H237" s="9" t="str">
        <f t="shared" si="6"/>
        <v/>
      </c>
      <c r="I237" s="9" t="str">
        <f t="shared" si="7"/>
        <v/>
      </c>
      <c r="J237" s="12" t="str">
        <f>IF(ISNUMBER(Output!F236),Output!F236,"")</f>
        <v/>
      </c>
      <c r="K237" s="12" t="str">
        <f>IF(ISNUMBER(Output!G236),Output!G236,"")</f>
        <v/>
      </c>
    </row>
    <row r="238" spans="1:11" x14ac:dyDescent="0.25">
      <c r="A238" s="9" t="str">
        <f>IF(ISBLANK(Output!A237),"",Output!A237)</f>
        <v/>
      </c>
      <c r="B238" s="9" t="str">
        <f>IF(ISBLANK(Output!B237),"",Output!B237)</f>
        <v/>
      </c>
      <c r="C238" s="9" t="str">
        <f>IF(ISNUMBER(Output!C237),IF(Output!C237&gt;=12,IFERROR(ROUND(INT(Output!C237)/12,0)&amp;"'-"&amp;INT(ROUND((Output!C237/12-INT(Output!C237/12))*12,2))&amp;" "&amp;IF(MROUND(ROUND((Output!C237/12-INT(Output!C237/12))*12,3)-INT(ROUND((Output!C237/12-INT(Output!C237/12))*12,3)),1/8)=0,"",VLOOKUP(MROUND((Output!C237/12-INT(Output!C237/12))*12-INT((Output!C237/12-INT(Output!C237/12))*12),1/8),fract[],2,FALSE))&amp;"''",""),IFERROR(INT(Output!C237)&amp;" "&amp;IF(MROUND((Output!C237-INT(Output!C237)),1/8)=0,"",VLOOKUP(MROUND((Output!C237-INT(Output!C237)),1/8),fract[],2,FALSE))&amp;"''","")),"")</f>
        <v/>
      </c>
      <c r="D238" s="9" t="str">
        <f>IF(ISNUMBER(Output!D237),IFERROR(ROUND(INT(Output!D237/12),3)&amp;"'-"&amp;INT(ROUND((Output!D237/12-INT(Output!D237/12))*12,3))&amp;" "&amp;IF(MROUND(ROUND((Output!D237/12-INT(Output!D237/12))*12,3)-INT(ROUND((Output!D237/12-INT(Output!D237/12))*12,3)),1/8)=0,"",VLOOKUP(MROUND((Output!D237/12-INT(Output!D237/12))*12-INT((Output!D237/12-INT(Output!D237/12))*12),1/8),fract[],2,FALSE))&amp;"''",""),"")</f>
        <v/>
      </c>
      <c r="E238" s="9" t="str">
        <f>IF(ISNUMBER(Output!E237),IF(Output!E237&gt;=12,IFERROR(ROUND(INT(Output!E237)/12,0)&amp;"'-"&amp;INT(ROUND((Output!E237/12-INT(Output!E237/12))*12,2))&amp;" "&amp;IF(MROUND(ROUND((Output!E237/12-INT(Output!E237/12))*12,3)-INT(ROUND((Output!E237/12-INT(Output!E237/12))*12,3)),1/8)=0,"",VLOOKUP(MROUND((Output!E237/12-INT(Output!E237/12))*12-INT((Output!E237/12-INT(Output!E237/12))*12),1/8),fract[],2,FALSE))&amp;"''",""),IFERROR(INT(Output!E237)&amp;" "&amp;IF(MROUND((Output!E237-INT(Output!E237)),1/8)=0,"",VLOOKUP(MROUND((Output!E237-INT(Output!E237)),1/8),fract[],2,FALSE))&amp;"''","")),"")</f>
        <v/>
      </c>
      <c r="F238" s="8"/>
      <c r="G238" s="8"/>
      <c r="H238" s="9" t="str">
        <f t="shared" si="6"/>
        <v/>
      </c>
      <c r="I238" s="9" t="str">
        <f t="shared" si="7"/>
        <v/>
      </c>
      <c r="J238" s="12" t="str">
        <f>IF(ISNUMBER(Output!F237),Output!F237,"")</f>
        <v/>
      </c>
      <c r="K238" s="12" t="str">
        <f>IF(ISNUMBER(Output!G237),Output!G237,"")</f>
        <v/>
      </c>
    </row>
    <row r="239" spans="1:11" x14ac:dyDescent="0.25">
      <c r="A239" s="9" t="str">
        <f>IF(ISBLANK(Output!A238),"",Output!A238)</f>
        <v/>
      </c>
      <c r="B239" s="9" t="str">
        <f>IF(ISBLANK(Output!B238),"",Output!B238)</f>
        <v/>
      </c>
      <c r="C239" s="9" t="str">
        <f>IF(ISNUMBER(Output!C238),IF(Output!C238&gt;=12,IFERROR(ROUND(INT(Output!C238)/12,0)&amp;"'-"&amp;INT(ROUND((Output!C238/12-INT(Output!C238/12))*12,2))&amp;" "&amp;IF(MROUND(ROUND((Output!C238/12-INT(Output!C238/12))*12,3)-INT(ROUND((Output!C238/12-INT(Output!C238/12))*12,3)),1/8)=0,"",VLOOKUP(MROUND((Output!C238/12-INT(Output!C238/12))*12-INT((Output!C238/12-INT(Output!C238/12))*12),1/8),fract[],2,FALSE))&amp;"''",""),IFERROR(INT(Output!C238)&amp;" "&amp;IF(MROUND((Output!C238-INT(Output!C238)),1/8)=0,"",VLOOKUP(MROUND((Output!C238-INT(Output!C238)),1/8),fract[],2,FALSE))&amp;"''","")),"")</f>
        <v/>
      </c>
      <c r="D239" s="9" t="str">
        <f>IF(ISNUMBER(Output!D238),IFERROR(ROUND(INT(Output!D238/12),3)&amp;"'-"&amp;INT(ROUND((Output!D238/12-INT(Output!D238/12))*12,3))&amp;" "&amp;IF(MROUND(ROUND((Output!D238/12-INT(Output!D238/12))*12,3)-INT(ROUND((Output!D238/12-INT(Output!D238/12))*12,3)),1/8)=0,"",VLOOKUP(MROUND((Output!D238/12-INT(Output!D238/12))*12-INT((Output!D238/12-INT(Output!D238/12))*12),1/8),fract[],2,FALSE))&amp;"''",""),"")</f>
        <v/>
      </c>
      <c r="E239" s="9" t="str">
        <f>IF(ISNUMBER(Output!E238),IF(Output!E238&gt;=12,IFERROR(ROUND(INT(Output!E238)/12,0)&amp;"'-"&amp;INT(ROUND((Output!E238/12-INT(Output!E238/12))*12,2))&amp;" "&amp;IF(MROUND(ROUND((Output!E238/12-INT(Output!E238/12))*12,3)-INT(ROUND((Output!E238/12-INT(Output!E238/12))*12,3)),1/8)=0,"",VLOOKUP(MROUND((Output!E238/12-INT(Output!E238/12))*12-INT((Output!E238/12-INT(Output!E238/12))*12),1/8),fract[],2,FALSE))&amp;"''",""),IFERROR(INT(Output!E238)&amp;" "&amp;IF(MROUND((Output!E238-INT(Output!E238)),1/8)=0,"",VLOOKUP(MROUND((Output!E238-INT(Output!E238)),1/8),fract[],2,FALSE))&amp;"''","")),"")</f>
        <v/>
      </c>
      <c r="F239" s="8"/>
      <c r="G239" s="8"/>
      <c r="H239" s="9" t="str">
        <f t="shared" si="6"/>
        <v/>
      </c>
      <c r="I239" s="9" t="str">
        <f t="shared" si="7"/>
        <v/>
      </c>
      <c r="J239" s="12" t="str">
        <f>IF(ISNUMBER(Output!F238),Output!F238,"")</f>
        <v/>
      </c>
      <c r="K239" s="12" t="str">
        <f>IF(ISNUMBER(Output!G238),Output!G238,"")</f>
        <v/>
      </c>
    </row>
    <row r="240" spans="1:11" x14ac:dyDescent="0.25">
      <c r="A240" s="9" t="str">
        <f>IF(ISBLANK(Output!A239),"",Output!A239)</f>
        <v/>
      </c>
      <c r="B240" s="9" t="str">
        <f>IF(ISBLANK(Output!B239),"",Output!B239)</f>
        <v/>
      </c>
      <c r="C240" s="9" t="str">
        <f>IF(ISNUMBER(Output!C239),IF(Output!C239&gt;=12,IFERROR(ROUND(INT(Output!C239)/12,0)&amp;"'-"&amp;INT(ROUND((Output!C239/12-INT(Output!C239/12))*12,2))&amp;" "&amp;IF(MROUND(ROUND((Output!C239/12-INT(Output!C239/12))*12,3)-INT(ROUND((Output!C239/12-INT(Output!C239/12))*12,3)),1/8)=0,"",VLOOKUP(MROUND((Output!C239/12-INT(Output!C239/12))*12-INT((Output!C239/12-INT(Output!C239/12))*12),1/8),fract[],2,FALSE))&amp;"''",""),IFERROR(INT(Output!C239)&amp;" "&amp;IF(MROUND((Output!C239-INT(Output!C239)),1/8)=0,"",VLOOKUP(MROUND((Output!C239-INT(Output!C239)),1/8),fract[],2,FALSE))&amp;"''","")),"")</f>
        <v/>
      </c>
      <c r="D240" s="9" t="str">
        <f>IF(ISNUMBER(Output!D239),IFERROR(ROUND(INT(Output!D239/12),3)&amp;"'-"&amp;INT(ROUND((Output!D239/12-INT(Output!D239/12))*12,3))&amp;" "&amp;IF(MROUND(ROUND((Output!D239/12-INT(Output!D239/12))*12,3)-INT(ROUND((Output!D239/12-INT(Output!D239/12))*12,3)),1/8)=0,"",VLOOKUP(MROUND((Output!D239/12-INT(Output!D239/12))*12-INT((Output!D239/12-INT(Output!D239/12))*12),1/8),fract[],2,FALSE))&amp;"''",""),"")</f>
        <v/>
      </c>
      <c r="E240" s="9" t="str">
        <f>IF(ISNUMBER(Output!E239),IF(Output!E239&gt;=12,IFERROR(ROUND(INT(Output!E239)/12,0)&amp;"'-"&amp;INT(ROUND((Output!E239/12-INT(Output!E239/12))*12,2))&amp;" "&amp;IF(MROUND(ROUND((Output!E239/12-INT(Output!E239/12))*12,3)-INT(ROUND((Output!E239/12-INT(Output!E239/12))*12,3)),1/8)=0,"",VLOOKUP(MROUND((Output!E239/12-INT(Output!E239/12))*12-INT((Output!E239/12-INT(Output!E239/12))*12),1/8),fract[],2,FALSE))&amp;"''",""),IFERROR(INT(Output!E239)&amp;" "&amp;IF(MROUND((Output!E239-INT(Output!E239)),1/8)=0,"",VLOOKUP(MROUND((Output!E239-INT(Output!E239)),1/8),fract[],2,FALSE))&amp;"''","")),"")</f>
        <v/>
      </c>
      <c r="F240" s="8"/>
      <c r="G240" s="8"/>
      <c r="H240" s="9" t="str">
        <f t="shared" si="6"/>
        <v/>
      </c>
      <c r="I240" s="9" t="str">
        <f t="shared" si="7"/>
        <v/>
      </c>
      <c r="J240" s="12" t="str">
        <f>IF(ISNUMBER(Output!F239),Output!F239,"")</f>
        <v/>
      </c>
      <c r="K240" s="12" t="str">
        <f>IF(ISNUMBER(Output!G239),Output!G239,"")</f>
        <v/>
      </c>
    </row>
    <row r="241" spans="1:11" x14ac:dyDescent="0.25">
      <c r="A241" s="9" t="str">
        <f>IF(ISBLANK(Output!A240),"",Output!A240)</f>
        <v/>
      </c>
      <c r="B241" s="9" t="str">
        <f>IF(ISBLANK(Output!B240),"",Output!B240)</f>
        <v/>
      </c>
      <c r="C241" s="9" t="str">
        <f>IF(ISNUMBER(Output!C240),IF(Output!C240&gt;=12,IFERROR(ROUND(INT(Output!C240)/12,0)&amp;"'-"&amp;INT(ROUND((Output!C240/12-INT(Output!C240/12))*12,2))&amp;" "&amp;IF(MROUND(ROUND((Output!C240/12-INT(Output!C240/12))*12,3)-INT(ROUND((Output!C240/12-INT(Output!C240/12))*12,3)),1/8)=0,"",VLOOKUP(MROUND((Output!C240/12-INT(Output!C240/12))*12-INT((Output!C240/12-INT(Output!C240/12))*12),1/8),fract[],2,FALSE))&amp;"''",""),IFERROR(INT(Output!C240)&amp;" "&amp;IF(MROUND((Output!C240-INT(Output!C240)),1/8)=0,"",VLOOKUP(MROUND((Output!C240-INT(Output!C240)),1/8),fract[],2,FALSE))&amp;"''","")),"")</f>
        <v/>
      </c>
      <c r="D241" s="9" t="str">
        <f>IF(ISNUMBER(Output!D240),IFERROR(ROUND(INT(Output!D240/12),3)&amp;"'-"&amp;INT(ROUND((Output!D240/12-INT(Output!D240/12))*12,3))&amp;" "&amp;IF(MROUND(ROUND((Output!D240/12-INT(Output!D240/12))*12,3)-INT(ROUND((Output!D240/12-INT(Output!D240/12))*12,3)),1/8)=0,"",VLOOKUP(MROUND((Output!D240/12-INT(Output!D240/12))*12-INT((Output!D240/12-INT(Output!D240/12))*12),1/8),fract[],2,FALSE))&amp;"''",""),"")</f>
        <v/>
      </c>
      <c r="E241" s="9" t="str">
        <f>IF(ISNUMBER(Output!E240),IF(Output!E240&gt;=12,IFERROR(ROUND(INT(Output!E240)/12,0)&amp;"'-"&amp;INT(ROUND((Output!E240/12-INT(Output!E240/12))*12,2))&amp;" "&amp;IF(MROUND(ROUND((Output!E240/12-INT(Output!E240/12))*12,3)-INT(ROUND((Output!E240/12-INT(Output!E240/12))*12,3)),1/8)=0,"",VLOOKUP(MROUND((Output!E240/12-INT(Output!E240/12))*12-INT((Output!E240/12-INT(Output!E240/12))*12),1/8),fract[],2,FALSE))&amp;"''",""),IFERROR(INT(Output!E240)&amp;" "&amp;IF(MROUND((Output!E240-INT(Output!E240)),1/8)=0,"",VLOOKUP(MROUND((Output!E240-INT(Output!E240)),1/8),fract[],2,FALSE))&amp;"''","")),"")</f>
        <v/>
      </c>
      <c r="F241" s="8"/>
      <c r="G241" s="8"/>
      <c r="H241" s="9" t="str">
        <f t="shared" si="6"/>
        <v/>
      </c>
      <c r="I241" s="9" t="str">
        <f t="shared" si="7"/>
        <v/>
      </c>
      <c r="J241" s="12" t="str">
        <f>IF(ISNUMBER(Output!F240),Output!F240,"")</f>
        <v/>
      </c>
      <c r="K241" s="12" t="str">
        <f>IF(ISNUMBER(Output!G240),Output!G240,"")</f>
        <v/>
      </c>
    </row>
    <row r="242" spans="1:11" x14ac:dyDescent="0.25">
      <c r="A242" s="9" t="str">
        <f>IF(ISBLANK(Output!A241),"",Output!A241)</f>
        <v/>
      </c>
      <c r="B242" s="9" t="str">
        <f>IF(ISBLANK(Output!B241),"",Output!B241)</f>
        <v/>
      </c>
      <c r="C242" s="9" t="str">
        <f>IF(ISNUMBER(Output!C241),IF(Output!C241&gt;=12,IFERROR(ROUND(INT(Output!C241)/12,0)&amp;"'-"&amp;INT(ROUND((Output!C241/12-INT(Output!C241/12))*12,2))&amp;" "&amp;IF(MROUND(ROUND((Output!C241/12-INT(Output!C241/12))*12,3)-INT(ROUND((Output!C241/12-INT(Output!C241/12))*12,3)),1/8)=0,"",VLOOKUP(MROUND((Output!C241/12-INT(Output!C241/12))*12-INT((Output!C241/12-INT(Output!C241/12))*12),1/8),fract[],2,FALSE))&amp;"''",""),IFERROR(INT(Output!C241)&amp;" "&amp;IF(MROUND((Output!C241-INT(Output!C241)),1/8)=0,"",VLOOKUP(MROUND((Output!C241-INT(Output!C241)),1/8),fract[],2,FALSE))&amp;"''","")),"")</f>
        <v/>
      </c>
      <c r="D242" s="9" t="str">
        <f>IF(ISNUMBER(Output!D241),IFERROR(ROUND(INT(Output!D241/12),3)&amp;"'-"&amp;INT(ROUND((Output!D241/12-INT(Output!D241/12))*12,3))&amp;" "&amp;IF(MROUND(ROUND((Output!D241/12-INT(Output!D241/12))*12,3)-INT(ROUND((Output!D241/12-INT(Output!D241/12))*12,3)),1/8)=0,"",VLOOKUP(MROUND((Output!D241/12-INT(Output!D241/12))*12-INT((Output!D241/12-INT(Output!D241/12))*12),1/8),fract[],2,FALSE))&amp;"''",""),"")</f>
        <v/>
      </c>
      <c r="E242" s="9" t="str">
        <f>IF(ISNUMBER(Output!E241),IF(Output!E241&gt;=12,IFERROR(ROUND(INT(Output!E241)/12,0)&amp;"'-"&amp;INT(ROUND((Output!E241/12-INT(Output!E241/12))*12,2))&amp;" "&amp;IF(MROUND(ROUND((Output!E241/12-INT(Output!E241/12))*12,3)-INT(ROUND((Output!E241/12-INT(Output!E241/12))*12,3)),1/8)=0,"",VLOOKUP(MROUND((Output!E241/12-INT(Output!E241/12))*12-INT((Output!E241/12-INT(Output!E241/12))*12),1/8),fract[],2,FALSE))&amp;"''",""),IFERROR(INT(Output!E241)&amp;" "&amp;IF(MROUND((Output!E241-INT(Output!E241)),1/8)=0,"",VLOOKUP(MROUND((Output!E241-INT(Output!E241)),1/8),fract[],2,FALSE))&amp;"''","")),"")</f>
        <v/>
      </c>
      <c r="F242" s="8"/>
      <c r="G242" s="8"/>
      <c r="H242" s="9" t="str">
        <f t="shared" si="6"/>
        <v/>
      </c>
      <c r="I242" s="9" t="str">
        <f t="shared" si="7"/>
        <v/>
      </c>
      <c r="J242" s="12" t="str">
        <f>IF(ISNUMBER(Output!F241),Output!F241,"")</f>
        <v/>
      </c>
      <c r="K242" s="12" t="str">
        <f>IF(ISNUMBER(Output!G241),Output!G241,"")</f>
        <v/>
      </c>
    </row>
    <row r="243" spans="1:11" x14ac:dyDescent="0.25">
      <c r="A243" s="9" t="str">
        <f>IF(ISBLANK(Output!A242),"",Output!A242)</f>
        <v/>
      </c>
      <c r="B243" s="9" t="str">
        <f>IF(ISBLANK(Output!B242),"",Output!B242)</f>
        <v/>
      </c>
      <c r="C243" s="9" t="str">
        <f>IF(ISNUMBER(Output!C242),IF(Output!C242&gt;=12,IFERROR(ROUND(INT(Output!C242)/12,0)&amp;"'-"&amp;INT(ROUND((Output!C242/12-INT(Output!C242/12))*12,2))&amp;" "&amp;IF(MROUND(ROUND((Output!C242/12-INT(Output!C242/12))*12,3)-INT(ROUND((Output!C242/12-INT(Output!C242/12))*12,3)),1/8)=0,"",VLOOKUP(MROUND((Output!C242/12-INT(Output!C242/12))*12-INT((Output!C242/12-INT(Output!C242/12))*12),1/8),fract[],2,FALSE))&amp;"''",""),IFERROR(INT(Output!C242)&amp;" "&amp;IF(MROUND((Output!C242-INT(Output!C242)),1/8)=0,"",VLOOKUP(MROUND((Output!C242-INT(Output!C242)),1/8),fract[],2,FALSE))&amp;"''","")),"")</f>
        <v/>
      </c>
      <c r="D243" s="9" t="str">
        <f>IF(ISNUMBER(Output!D242),IFERROR(ROUND(INT(Output!D242/12),3)&amp;"'-"&amp;INT(ROUND((Output!D242/12-INT(Output!D242/12))*12,3))&amp;" "&amp;IF(MROUND(ROUND((Output!D242/12-INT(Output!D242/12))*12,3)-INT(ROUND((Output!D242/12-INT(Output!D242/12))*12,3)),1/8)=0,"",VLOOKUP(MROUND((Output!D242/12-INT(Output!D242/12))*12-INT((Output!D242/12-INT(Output!D242/12))*12),1/8),fract[],2,FALSE))&amp;"''",""),"")</f>
        <v/>
      </c>
      <c r="E243" s="9" t="str">
        <f>IF(ISNUMBER(Output!E242),IF(Output!E242&gt;=12,IFERROR(ROUND(INT(Output!E242)/12,0)&amp;"'-"&amp;INT(ROUND((Output!E242/12-INT(Output!E242/12))*12,2))&amp;" "&amp;IF(MROUND(ROUND((Output!E242/12-INT(Output!E242/12))*12,3)-INT(ROUND((Output!E242/12-INT(Output!E242/12))*12,3)),1/8)=0,"",VLOOKUP(MROUND((Output!E242/12-INT(Output!E242/12))*12-INT((Output!E242/12-INT(Output!E242/12))*12),1/8),fract[],2,FALSE))&amp;"''",""),IFERROR(INT(Output!E242)&amp;" "&amp;IF(MROUND((Output!E242-INT(Output!E242)),1/8)=0,"",VLOOKUP(MROUND((Output!E242-INT(Output!E242)),1/8),fract[],2,FALSE))&amp;"''","")),"")</f>
        <v/>
      </c>
      <c r="F243" s="8"/>
      <c r="G243" s="8"/>
      <c r="H243" s="9" t="str">
        <f t="shared" si="6"/>
        <v/>
      </c>
      <c r="I243" s="9" t="str">
        <f t="shared" si="7"/>
        <v/>
      </c>
      <c r="J243" s="12" t="str">
        <f>IF(ISNUMBER(Output!F242),Output!F242,"")</f>
        <v/>
      </c>
      <c r="K243" s="12" t="str">
        <f>IF(ISNUMBER(Output!G242),Output!G242,"")</f>
        <v/>
      </c>
    </row>
    <row r="244" spans="1:11" x14ac:dyDescent="0.25">
      <c r="A244" s="9" t="str">
        <f>IF(ISBLANK(Output!A243),"",Output!A243)</f>
        <v/>
      </c>
      <c r="B244" s="9" t="str">
        <f>IF(ISBLANK(Output!B243),"",Output!B243)</f>
        <v/>
      </c>
      <c r="C244" s="9" t="str">
        <f>IF(ISNUMBER(Output!C243),IF(Output!C243&gt;=12,IFERROR(ROUND(INT(Output!C243)/12,0)&amp;"'-"&amp;INT(ROUND((Output!C243/12-INT(Output!C243/12))*12,2))&amp;" "&amp;IF(MROUND(ROUND((Output!C243/12-INT(Output!C243/12))*12,3)-INT(ROUND((Output!C243/12-INT(Output!C243/12))*12,3)),1/8)=0,"",VLOOKUP(MROUND((Output!C243/12-INT(Output!C243/12))*12-INT((Output!C243/12-INT(Output!C243/12))*12),1/8),fract[],2,FALSE))&amp;"''",""),IFERROR(INT(Output!C243)&amp;" "&amp;IF(MROUND((Output!C243-INT(Output!C243)),1/8)=0,"",VLOOKUP(MROUND((Output!C243-INT(Output!C243)),1/8),fract[],2,FALSE))&amp;"''","")),"")</f>
        <v/>
      </c>
      <c r="D244" s="9" t="str">
        <f>IF(ISNUMBER(Output!D243),IFERROR(ROUND(INT(Output!D243/12),3)&amp;"'-"&amp;INT(ROUND((Output!D243/12-INT(Output!D243/12))*12,3))&amp;" "&amp;IF(MROUND(ROUND((Output!D243/12-INT(Output!D243/12))*12,3)-INT(ROUND((Output!D243/12-INT(Output!D243/12))*12,3)),1/8)=0,"",VLOOKUP(MROUND((Output!D243/12-INT(Output!D243/12))*12-INT((Output!D243/12-INT(Output!D243/12))*12),1/8),fract[],2,FALSE))&amp;"''",""),"")</f>
        <v/>
      </c>
      <c r="E244" s="9" t="str">
        <f>IF(ISNUMBER(Output!E243),IF(Output!E243&gt;=12,IFERROR(ROUND(INT(Output!E243)/12,0)&amp;"'-"&amp;INT(ROUND((Output!E243/12-INT(Output!E243/12))*12,2))&amp;" "&amp;IF(MROUND(ROUND((Output!E243/12-INT(Output!E243/12))*12,3)-INT(ROUND((Output!E243/12-INT(Output!E243/12))*12,3)),1/8)=0,"",VLOOKUP(MROUND((Output!E243/12-INT(Output!E243/12))*12-INT((Output!E243/12-INT(Output!E243/12))*12),1/8),fract[],2,FALSE))&amp;"''",""),IFERROR(INT(Output!E243)&amp;" "&amp;IF(MROUND((Output!E243-INT(Output!E243)),1/8)=0,"",VLOOKUP(MROUND((Output!E243-INT(Output!E243)),1/8),fract[],2,FALSE))&amp;"''","")),"")</f>
        <v/>
      </c>
      <c r="F244" s="8"/>
      <c r="G244" s="8"/>
      <c r="H244" s="9" t="str">
        <f t="shared" si="6"/>
        <v/>
      </c>
      <c r="I244" s="9" t="str">
        <f t="shared" si="7"/>
        <v/>
      </c>
      <c r="J244" s="12" t="str">
        <f>IF(ISNUMBER(Output!F243),Output!F243,"")</f>
        <v/>
      </c>
      <c r="K244" s="12" t="str">
        <f>IF(ISNUMBER(Output!G243),Output!G243,"")</f>
        <v/>
      </c>
    </row>
    <row r="245" spans="1:11" x14ac:dyDescent="0.25">
      <c r="A245" s="9" t="str">
        <f>IF(ISBLANK(Output!A244),"",Output!A244)</f>
        <v/>
      </c>
      <c r="B245" s="9" t="str">
        <f>IF(ISBLANK(Output!B244),"",Output!B244)</f>
        <v/>
      </c>
      <c r="C245" s="9" t="str">
        <f>IF(ISNUMBER(Output!C244),IF(Output!C244&gt;=12,IFERROR(ROUND(INT(Output!C244)/12,0)&amp;"'-"&amp;INT(ROUND((Output!C244/12-INT(Output!C244/12))*12,2))&amp;" "&amp;IF(MROUND(ROUND((Output!C244/12-INT(Output!C244/12))*12,3)-INT(ROUND((Output!C244/12-INT(Output!C244/12))*12,3)),1/8)=0,"",VLOOKUP(MROUND((Output!C244/12-INT(Output!C244/12))*12-INT((Output!C244/12-INT(Output!C244/12))*12),1/8),fract[],2,FALSE))&amp;"''",""),IFERROR(INT(Output!C244)&amp;" "&amp;IF(MROUND((Output!C244-INT(Output!C244)),1/8)=0,"",VLOOKUP(MROUND((Output!C244-INT(Output!C244)),1/8),fract[],2,FALSE))&amp;"''","")),"")</f>
        <v/>
      </c>
      <c r="D245" s="9" t="str">
        <f>IF(ISNUMBER(Output!D244),IFERROR(ROUND(INT(Output!D244/12),3)&amp;"'-"&amp;INT(ROUND((Output!D244/12-INT(Output!D244/12))*12,3))&amp;" "&amp;IF(MROUND(ROUND((Output!D244/12-INT(Output!D244/12))*12,3)-INT(ROUND((Output!D244/12-INT(Output!D244/12))*12,3)),1/8)=0,"",VLOOKUP(MROUND((Output!D244/12-INT(Output!D244/12))*12-INT((Output!D244/12-INT(Output!D244/12))*12),1/8),fract[],2,FALSE))&amp;"''",""),"")</f>
        <v/>
      </c>
      <c r="E245" s="9" t="str">
        <f>IF(ISNUMBER(Output!E244),IF(Output!E244&gt;=12,IFERROR(ROUND(INT(Output!E244)/12,0)&amp;"'-"&amp;INT(ROUND((Output!E244/12-INT(Output!E244/12))*12,2))&amp;" "&amp;IF(MROUND(ROUND((Output!E244/12-INT(Output!E244/12))*12,3)-INT(ROUND((Output!E244/12-INT(Output!E244/12))*12,3)),1/8)=0,"",VLOOKUP(MROUND((Output!E244/12-INT(Output!E244/12))*12-INT((Output!E244/12-INT(Output!E244/12))*12),1/8),fract[],2,FALSE))&amp;"''",""),IFERROR(INT(Output!E244)&amp;" "&amp;IF(MROUND((Output!E244-INT(Output!E244)),1/8)=0,"",VLOOKUP(MROUND((Output!E244-INT(Output!E244)),1/8),fract[],2,FALSE))&amp;"''","")),"")</f>
        <v/>
      </c>
      <c r="F245" s="8"/>
      <c r="G245" s="8"/>
      <c r="H245" s="9" t="str">
        <f t="shared" si="6"/>
        <v/>
      </c>
      <c r="I245" s="9" t="str">
        <f t="shared" si="7"/>
        <v/>
      </c>
      <c r="J245" s="12" t="str">
        <f>IF(ISNUMBER(Output!F244),Output!F244,"")</f>
        <v/>
      </c>
      <c r="K245" s="12" t="str">
        <f>IF(ISNUMBER(Output!G244),Output!G244,"")</f>
        <v/>
      </c>
    </row>
    <row r="246" spans="1:11" x14ac:dyDescent="0.25">
      <c r="A246" s="9" t="str">
        <f>IF(ISBLANK(Output!A245),"",Output!A245)</f>
        <v/>
      </c>
      <c r="B246" s="9" t="str">
        <f>IF(ISBLANK(Output!B245),"",Output!B245)</f>
        <v/>
      </c>
      <c r="C246" s="9" t="str">
        <f>IF(ISNUMBER(Output!C245),IF(Output!C245&gt;=12,IFERROR(ROUND(INT(Output!C245)/12,0)&amp;"'-"&amp;INT(ROUND((Output!C245/12-INT(Output!C245/12))*12,2))&amp;" "&amp;IF(MROUND(ROUND((Output!C245/12-INT(Output!C245/12))*12,3)-INT(ROUND((Output!C245/12-INT(Output!C245/12))*12,3)),1/8)=0,"",VLOOKUP(MROUND((Output!C245/12-INT(Output!C245/12))*12-INT((Output!C245/12-INT(Output!C245/12))*12),1/8),fract[],2,FALSE))&amp;"''",""),IFERROR(INT(Output!C245)&amp;" "&amp;IF(MROUND((Output!C245-INT(Output!C245)),1/8)=0,"",VLOOKUP(MROUND((Output!C245-INT(Output!C245)),1/8),fract[],2,FALSE))&amp;"''","")),"")</f>
        <v/>
      </c>
      <c r="D246" s="9" t="str">
        <f>IF(ISNUMBER(Output!D245),IFERROR(ROUND(INT(Output!D245/12),3)&amp;"'-"&amp;INT(ROUND((Output!D245/12-INT(Output!D245/12))*12,3))&amp;" "&amp;IF(MROUND(ROUND((Output!D245/12-INT(Output!D245/12))*12,3)-INT(ROUND((Output!D245/12-INT(Output!D245/12))*12,3)),1/8)=0,"",VLOOKUP(MROUND((Output!D245/12-INT(Output!D245/12))*12-INT((Output!D245/12-INT(Output!D245/12))*12),1/8),fract[],2,FALSE))&amp;"''",""),"")</f>
        <v/>
      </c>
      <c r="E246" s="9" t="str">
        <f>IF(ISNUMBER(Output!E245),IF(Output!E245&gt;=12,IFERROR(ROUND(INT(Output!E245)/12,0)&amp;"'-"&amp;INT(ROUND((Output!E245/12-INT(Output!E245/12))*12,2))&amp;" "&amp;IF(MROUND(ROUND((Output!E245/12-INT(Output!E245/12))*12,3)-INT(ROUND((Output!E245/12-INT(Output!E245/12))*12,3)),1/8)=0,"",VLOOKUP(MROUND((Output!E245/12-INT(Output!E245/12))*12-INT((Output!E245/12-INT(Output!E245/12))*12),1/8),fract[],2,FALSE))&amp;"''",""),IFERROR(INT(Output!E245)&amp;" "&amp;IF(MROUND((Output!E245-INT(Output!E245)),1/8)=0,"",VLOOKUP(MROUND((Output!E245-INT(Output!E245)),1/8),fract[],2,FALSE))&amp;"''","")),"")</f>
        <v/>
      </c>
      <c r="F246" s="8"/>
      <c r="G246" s="8"/>
      <c r="H246" s="9" t="str">
        <f t="shared" si="6"/>
        <v/>
      </c>
      <c r="I246" s="9" t="str">
        <f t="shared" si="7"/>
        <v/>
      </c>
      <c r="J246" s="12" t="str">
        <f>IF(ISNUMBER(Output!F245),Output!F245,"")</f>
        <v/>
      </c>
      <c r="K246" s="12" t="str">
        <f>IF(ISNUMBER(Output!G245),Output!G245,"")</f>
        <v/>
      </c>
    </row>
    <row r="247" spans="1:11" x14ac:dyDescent="0.25">
      <c r="A247" s="9" t="str">
        <f>IF(ISBLANK(Output!A246),"",Output!A246)</f>
        <v/>
      </c>
      <c r="B247" s="9" t="str">
        <f>IF(ISBLANK(Output!B246),"",Output!B246)</f>
        <v/>
      </c>
      <c r="C247" s="9" t="str">
        <f>IF(ISNUMBER(Output!C246),IF(Output!C246&gt;=12,IFERROR(ROUND(INT(Output!C246)/12,0)&amp;"'-"&amp;INT(ROUND((Output!C246/12-INT(Output!C246/12))*12,2))&amp;" "&amp;IF(MROUND(ROUND((Output!C246/12-INT(Output!C246/12))*12,3)-INT(ROUND((Output!C246/12-INT(Output!C246/12))*12,3)),1/8)=0,"",VLOOKUP(MROUND((Output!C246/12-INT(Output!C246/12))*12-INT((Output!C246/12-INT(Output!C246/12))*12),1/8),fract[],2,FALSE))&amp;"''",""),IFERROR(INT(Output!C246)&amp;" "&amp;IF(MROUND((Output!C246-INT(Output!C246)),1/8)=0,"",VLOOKUP(MROUND((Output!C246-INT(Output!C246)),1/8),fract[],2,FALSE))&amp;"''","")),"")</f>
        <v/>
      </c>
      <c r="D247" s="9" t="str">
        <f>IF(ISNUMBER(Output!D246),IFERROR(ROUND(INT(Output!D246/12),3)&amp;"'-"&amp;INT(ROUND((Output!D246/12-INT(Output!D246/12))*12,3))&amp;" "&amp;IF(MROUND(ROUND((Output!D246/12-INT(Output!D246/12))*12,3)-INT(ROUND((Output!D246/12-INT(Output!D246/12))*12,3)),1/8)=0,"",VLOOKUP(MROUND((Output!D246/12-INT(Output!D246/12))*12-INT((Output!D246/12-INT(Output!D246/12))*12),1/8),fract[],2,FALSE))&amp;"''",""),"")</f>
        <v/>
      </c>
      <c r="E247" s="9" t="str">
        <f>IF(ISNUMBER(Output!E246),IF(Output!E246&gt;=12,IFERROR(ROUND(INT(Output!E246)/12,0)&amp;"'-"&amp;INT(ROUND((Output!E246/12-INT(Output!E246/12))*12,2))&amp;" "&amp;IF(MROUND(ROUND((Output!E246/12-INT(Output!E246/12))*12,3)-INT(ROUND((Output!E246/12-INT(Output!E246/12))*12,3)),1/8)=0,"",VLOOKUP(MROUND((Output!E246/12-INT(Output!E246/12))*12-INT((Output!E246/12-INT(Output!E246/12))*12),1/8),fract[],2,FALSE))&amp;"''",""),IFERROR(INT(Output!E246)&amp;" "&amp;IF(MROUND((Output!E246-INT(Output!E246)),1/8)=0,"",VLOOKUP(MROUND((Output!E246-INT(Output!E246)),1/8),fract[],2,FALSE))&amp;"''","")),"")</f>
        <v/>
      </c>
      <c r="F247" s="8"/>
      <c r="G247" s="8"/>
      <c r="H247" s="9" t="str">
        <f t="shared" si="6"/>
        <v/>
      </c>
      <c r="I247" s="9" t="str">
        <f t="shared" si="7"/>
        <v/>
      </c>
      <c r="J247" s="12" t="str">
        <f>IF(ISNUMBER(Output!F246),Output!F246,"")</f>
        <v/>
      </c>
      <c r="K247" s="12" t="str">
        <f>IF(ISNUMBER(Output!G246),Output!G246,"")</f>
        <v/>
      </c>
    </row>
    <row r="248" spans="1:11" x14ac:dyDescent="0.25">
      <c r="A248" s="9" t="str">
        <f>IF(ISBLANK(Output!A247),"",Output!A247)</f>
        <v/>
      </c>
      <c r="B248" s="9" t="str">
        <f>IF(ISBLANK(Output!B247),"",Output!B247)</f>
        <v/>
      </c>
      <c r="C248" s="9" t="str">
        <f>IF(ISNUMBER(Output!C247),IF(Output!C247&gt;=12,IFERROR(ROUND(INT(Output!C247)/12,0)&amp;"'-"&amp;INT(ROUND((Output!C247/12-INT(Output!C247/12))*12,2))&amp;" "&amp;IF(MROUND(ROUND((Output!C247/12-INT(Output!C247/12))*12,3)-INT(ROUND((Output!C247/12-INT(Output!C247/12))*12,3)),1/8)=0,"",VLOOKUP(MROUND((Output!C247/12-INT(Output!C247/12))*12-INT((Output!C247/12-INT(Output!C247/12))*12),1/8),fract[],2,FALSE))&amp;"''",""),IFERROR(INT(Output!C247)&amp;" "&amp;IF(MROUND((Output!C247-INT(Output!C247)),1/8)=0,"",VLOOKUP(MROUND((Output!C247-INT(Output!C247)),1/8),fract[],2,FALSE))&amp;"''","")),"")</f>
        <v/>
      </c>
      <c r="D248" s="9" t="str">
        <f>IF(ISNUMBER(Output!D247),IFERROR(ROUND(INT(Output!D247/12),3)&amp;"'-"&amp;INT(ROUND((Output!D247/12-INT(Output!D247/12))*12,3))&amp;" "&amp;IF(MROUND(ROUND((Output!D247/12-INT(Output!D247/12))*12,3)-INT(ROUND((Output!D247/12-INT(Output!D247/12))*12,3)),1/8)=0,"",VLOOKUP(MROUND((Output!D247/12-INT(Output!D247/12))*12-INT((Output!D247/12-INT(Output!D247/12))*12),1/8),fract[],2,FALSE))&amp;"''",""),"")</f>
        <v/>
      </c>
      <c r="E248" s="9" t="str">
        <f>IF(ISNUMBER(Output!E247),IF(Output!E247&gt;=12,IFERROR(ROUND(INT(Output!E247)/12,0)&amp;"'-"&amp;INT(ROUND((Output!E247/12-INT(Output!E247/12))*12,2))&amp;" "&amp;IF(MROUND(ROUND((Output!E247/12-INT(Output!E247/12))*12,3)-INT(ROUND((Output!E247/12-INT(Output!E247/12))*12,3)),1/8)=0,"",VLOOKUP(MROUND((Output!E247/12-INT(Output!E247/12))*12-INT((Output!E247/12-INT(Output!E247/12))*12),1/8),fract[],2,FALSE))&amp;"''",""),IFERROR(INT(Output!E247)&amp;" "&amp;IF(MROUND((Output!E247-INT(Output!E247)),1/8)=0,"",VLOOKUP(MROUND((Output!E247-INT(Output!E247)),1/8),fract[],2,FALSE))&amp;"''","")),"")</f>
        <v/>
      </c>
      <c r="F248" s="8"/>
      <c r="G248" s="8"/>
      <c r="H248" s="9" t="str">
        <f t="shared" si="6"/>
        <v/>
      </c>
      <c r="I248" s="9" t="str">
        <f t="shared" si="7"/>
        <v/>
      </c>
      <c r="J248" s="12" t="str">
        <f>IF(ISNUMBER(Output!F247),Output!F247,"")</f>
        <v/>
      </c>
      <c r="K248" s="12" t="str">
        <f>IF(ISNUMBER(Output!G247),Output!G247,"")</f>
        <v/>
      </c>
    </row>
    <row r="249" spans="1:11" x14ac:dyDescent="0.25">
      <c r="A249" s="9" t="str">
        <f>IF(ISBLANK(Output!A248),"",Output!A248)</f>
        <v/>
      </c>
      <c r="B249" s="9" t="str">
        <f>IF(ISBLANK(Output!B248),"",Output!B248)</f>
        <v/>
      </c>
      <c r="C249" s="9" t="str">
        <f>IF(ISNUMBER(Output!C248),IF(Output!C248&gt;=12,IFERROR(ROUND(INT(Output!C248)/12,0)&amp;"'-"&amp;INT(ROUND((Output!C248/12-INT(Output!C248/12))*12,2))&amp;" "&amp;IF(MROUND(ROUND((Output!C248/12-INT(Output!C248/12))*12,3)-INT(ROUND((Output!C248/12-INT(Output!C248/12))*12,3)),1/8)=0,"",VLOOKUP(MROUND((Output!C248/12-INT(Output!C248/12))*12-INT((Output!C248/12-INT(Output!C248/12))*12),1/8),fract[],2,FALSE))&amp;"''",""),IFERROR(INT(Output!C248)&amp;" "&amp;IF(MROUND((Output!C248-INT(Output!C248)),1/8)=0,"",VLOOKUP(MROUND((Output!C248-INT(Output!C248)),1/8),fract[],2,FALSE))&amp;"''","")),"")</f>
        <v/>
      </c>
      <c r="D249" s="9" t="str">
        <f>IF(ISNUMBER(Output!D248),IFERROR(ROUND(INT(Output!D248/12),3)&amp;"'-"&amp;INT(ROUND((Output!D248/12-INT(Output!D248/12))*12,3))&amp;" "&amp;IF(MROUND(ROUND((Output!D248/12-INT(Output!D248/12))*12,3)-INT(ROUND((Output!D248/12-INT(Output!D248/12))*12,3)),1/8)=0,"",VLOOKUP(MROUND((Output!D248/12-INT(Output!D248/12))*12-INT((Output!D248/12-INT(Output!D248/12))*12),1/8),fract[],2,FALSE))&amp;"''",""),"")</f>
        <v/>
      </c>
      <c r="E249" s="9" t="str">
        <f>IF(ISNUMBER(Output!E248),IF(Output!E248&gt;=12,IFERROR(ROUND(INT(Output!E248)/12,0)&amp;"'-"&amp;INT(ROUND((Output!E248/12-INT(Output!E248/12))*12,2))&amp;" "&amp;IF(MROUND(ROUND((Output!E248/12-INT(Output!E248/12))*12,3)-INT(ROUND((Output!E248/12-INT(Output!E248/12))*12,3)),1/8)=0,"",VLOOKUP(MROUND((Output!E248/12-INT(Output!E248/12))*12-INT((Output!E248/12-INT(Output!E248/12))*12),1/8),fract[],2,FALSE))&amp;"''",""),IFERROR(INT(Output!E248)&amp;" "&amp;IF(MROUND((Output!E248-INT(Output!E248)),1/8)=0,"",VLOOKUP(MROUND((Output!E248-INT(Output!E248)),1/8),fract[],2,FALSE))&amp;"''","")),"")</f>
        <v/>
      </c>
      <c r="F249" s="8"/>
      <c r="G249" s="8"/>
      <c r="H249" s="9" t="str">
        <f t="shared" si="6"/>
        <v/>
      </c>
      <c r="I249" s="9" t="str">
        <f t="shared" si="7"/>
        <v/>
      </c>
      <c r="J249" s="12" t="str">
        <f>IF(ISNUMBER(Output!F248),Output!F248,"")</f>
        <v/>
      </c>
      <c r="K249" s="12" t="str">
        <f>IF(ISNUMBER(Output!G248),Output!G248,"")</f>
        <v/>
      </c>
    </row>
    <row r="250" spans="1:11" x14ac:dyDescent="0.25">
      <c r="A250" s="9" t="str">
        <f>IF(ISBLANK(Output!A249),"",Output!A249)</f>
        <v/>
      </c>
      <c r="B250" s="9" t="str">
        <f>IF(ISBLANK(Output!B249),"",Output!B249)</f>
        <v/>
      </c>
      <c r="C250" s="9" t="str">
        <f>IF(ISNUMBER(Output!C249),IF(Output!C249&gt;=12,IFERROR(ROUND(INT(Output!C249)/12,0)&amp;"'-"&amp;INT(ROUND((Output!C249/12-INT(Output!C249/12))*12,2))&amp;" "&amp;IF(MROUND(ROUND((Output!C249/12-INT(Output!C249/12))*12,3)-INT(ROUND((Output!C249/12-INT(Output!C249/12))*12,3)),1/8)=0,"",VLOOKUP(MROUND((Output!C249/12-INT(Output!C249/12))*12-INT((Output!C249/12-INT(Output!C249/12))*12),1/8),fract[],2,FALSE))&amp;"''",""),IFERROR(INT(Output!C249)&amp;" "&amp;IF(MROUND((Output!C249-INT(Output!C249)),1/8)=0,"",VLOOKUP(MROUND((Output!C249-INT(Output!C249)),1/8),fract[],2,FALSE))&amp;"''","")),"")</f>
        <v/>
      </c>
      <c r="D250" s="9" t="str">
        <f>IF(ISNUMBER(Output!D249),IFERROR(ROUND(INT(Output!D249/12),3)&amp;"'-"&amp;INT(ROUND((Output!D249/12-INT(Output!D249/12))*12,3))&amp;" "&amp;IF(MROUND(ROUND((Output!D249/12-INT(Output!D249/12))*12,3)-INT(ROUND((Output!D249/12-INT(Output!D249/12))*12,3)),1/8)=0,"",VLOOKUP(MROUND((Output!D249/12-INT(Output!D249/12))*12-INT((Output!D249/12-INT(Output!D249/12))*12),1/8),fract[],2,FALSE))&amp;"''",""),"")</f>
        <v/>
      </c>
      <c r="E250" s="9" t="str">
        <f>IF(ISNUMBER(Output!E249),IF(Output!E249&gt;=12,IFERROR(ROUND(INT(Output!E249)/12,0)&amp;"'-"&amp;INT(ROUND((Output!E249/12-INT(Output!E249/12))*12,2))&amp;" "&amp;IF(MROUND(ROUND((Output!E249/12-INT(Output!E249/12))*12,3)-INT(ROUND((Output!E249/12-INT(Output!E249/12))*12,3)),1/8)=0,"",VLOOKUP(MROUND((Output!E249/12-INT(Output!E249/12))*12-INT((Output!E249/12-INT(Output!E249/12))*12),1/8),fract[],2,FALSE))&amp;"''",""),IFERROR(INT(Output!E249)&amp;" "&amp;IF(MROUND((Output!E249-INT(Output!E249)),1/8)=0,"",VLOOKUP(MROUND((Output!E249-INT(Output!E249)),1/8),fract[],2,FALSE))&amp;"''","")),"")</f>
        <v/>
      </c>
      <c r="F250" s="8"/>
      <c r="G250" s="8"/>
      <c r="H250" s="9" t="str">
        <f t="shared" si="6"/>
        <v/>
      </c>
      <c r="I250" s="9" t="str">
        <f t="shared" si="7"/>
        <v/>
      </c>
      <c r="J250" s="12" t="str">
        <f>IF(ISNUMBER(Output!F249),Output!F249,"")</f>
        <v/>
      </c>
      <c r="K250" s="12" t="str">
        <f>IF(ISNUMBER(Output!G249),Output!G249,"")</f>
        <v/>
      </c>
    </row>
    <row r="251" spans="1:11" x14ac:dyDescent="0.25">
      <c r="A251" s="9" t="str">
        <f>IF(ISBLANK(Output!A250),"",Output!A250)</f>
        <v/>
      </c>
      <c r="B251" s="9" t="str">
        <f>IF(ISBLANK(Output!B250),"",Output!B250)</f>
        <v/>
      </c>
      <c r="C251" s="9" t="str">
        <f>IF(ISNUMBER(Output!C250),IF(Output!C250&gt;=12,IFERROR(ROUND(INT(Output!C250)/12,0)&amp;"'-"&amp;INT(ROUND((Output!C250/12-INT(Output!C250/12))*12,2))&amp;" "&amp;IF(MROUND(ROUND((Output!C250/12-INT(Output!C250/12))*12,3)-INT(ROUND((Output!C250/12-INT(Output!C250/12))*12,3)),1/8)=0,"",VLOOKUP(MROUND((Output!C250/12-INT(Output!C250/12))*12-INT((Output!C250/12-INT(Output!C250/12))*12),1/8),fract[],2,FALSE))&amp;"''",""),IFERROR(INT(Output!C250)&amp;" "&amp;IF(MROUND((Output!C250-INT(Output!C250)),1/8)=0,"",VLOOKUP(MROUND((Output!C250-INT(Output!C250)),1/8),fract[],2,FALSE))&amp;"''","")),"")</f>
        <v/>
      </c>
      <c r="D251" s="9" t="str">
        <f>IF(ISNUMBER(Output!D250),IFERROR(ROUND(INT(Output!D250/12),3)&amp;"'-"&amp;INT(ROUND((Output!D250/12-INT(Output!D250/12))*12,3))&amp;" "&amp;IF(MROUND(ROUND((Output!D250/12-INT(Output!D250/12))*12,3)-INT(ROUND((Output!D250/12-INT(Output!D250/12))*12,3)),1/8)=0,"",VLOOKUP(MROUND((Output!D250/12-INT(Output!D250/12))*12-INT((Output!D250/12-INT(Output!D250/12))*12),1/8),fract[],2,FALSE))&amp;"''",""),"")</f>
        <v/>
      </c>
      <c r="E251" s="9" t="str">
        <f>IF(ISNUMBER(Output!E250),IF(Output!E250&gt;=12,IFERROR(ROUND(INT(Output!E250)/12,0)&amp;"'-"&amp;INT(ROUND((Output!E250/12-INT(Output!E250/12))*12,2))&amp;" "&amp;IF(MROUND(ROUND((Output!E250/12-INT(Output!E250/12))*12,3)-INT(ROUND((Output!E250/12-INT(Output!E250/12))*12,3)),1/8)=0,"",VLOOKUP(MROUND((Output!E250/12-INT(Output!E250/12))*12-INT((Output!E250/12-INT(Output!E250/12))*12),1/8),fract[],2,FALSE))&amp;"''",""),IFERROR(INT(Output!E250)&amp;" "&amp;IF(MROUND((Output!E250-INT(Output!E250)),1/8)=0,"",VLOOKUP(MROUND((Output!E250-INT(Output!E250)),1/8),fract[],2,FALSE))&amp;"''","")),"")</f>
        <v/>
      </c>
      <c r="F251" s="8"/>
      <c r="G251" s="8"/>
      <c r="H251" s="9" t="str">
        <f t="shared" si="6"/>
        <v/>
      </c>
      <c r="I251" s="9" t="str">
        <f t="shared" si="7"/>
        <v/>
      </c>
      <c r="J251" s="12" t="str">
        <f>IF(ISNUMBER(Output!F250),Output!F250,"")</f>
        <v/>
      </c>
      <c r="K251" s="12" t="str">
        <f>IF(ISNUMBER(Output!G250),Output!G250,"")</f>
        <v/>
      </c>
    </row>
    <row r="252" spans="1:11" x14ac:dyDescent="0.25">
      <c r="A252" s="9" t="str">
        <f>IF(ISBLANK(Output!A251),"",Output!A251)</f>
        <v/>
      </c>
      <c r="B252" s="9" t="str">
        <f>IF(ISBLANK(Output!B251),"",Output!B251)</f>
        <v/>
      </c>
      <c r="C252" s="9" t="str">
        <f>IF(ISNUMBER(Output!C251),IF(Output!C251&gt;=12,IFERROR(ROUND(INT(Output!C251)/12,0)&amp;"'-"&amp;INT(ROUND((Output!C251/12-INT(Output!C251/12))*12,2))&amp;" "&amp;IF(MROUND(ROUND((Output!C251/12-INT(Output!C251/12))*12,3)-INT(ROUND((Output!C251/12-INT(Output!C251/12))*12,3)),1/8)=0,"",VLOOKUP(MROUND((Output!C251/12-INT(Output!C251/12))*12-INT((Output!C251/12-INT(Output!C251/12))*12),1/8),fract[],2,FALSE))&amp;"''",""),IFERROR(INT(Output!C251)&amp;" "&amp;IF(MROUND((Output!C251-INT(Output!C251)),1/8)=0,"",VLOOKUP(MROUND((Output!C251-INT(Output!C251)),1/8),fract[],2,FALSE))&amp;"''","")),"")</f>
        <v/>
      </c>
      <c r="D252" s="9" t="str">
        <f>IF(ISNUMBER(Output!D251),IFERROR(ROUND(INT(Output!D251/12),3)&amp;"'-"&amp;INT(ROUND((Output!D251/12-INT(Output!D251/12))*12,3))&amp;" "&amp;IF(MROUND(ROUND((Output!D251/12-INT(Output!D251/12))*12,3)-INT(ROUND((Output!D251/12-INT(Output!D251/12))*12,3)),1/8)=0,"",VLOOKUP(MROUND((Output!D251/12-INT(Output!D251/12))*12-INT((Output!D251/12-INT(Output!D251/12))*12),1/8),fract[],2,FALSE))&amp;"''",""),"")</f>
        <v/>
      </c>
      <c r="E252" s="9" t="str">
        <f>IF(ISNUMBER(Output!E251),IF(Output!E251&gt;=12,IFERROR(ROUND(INT(Output!E251)/12,0)&amp;"'-"&amp;INT(ROUND((Output!E251/12-INT(Output!E251/12))*12,2))&amp;" "&amp;IF(MROUND(ROUND((Output!E251/12-INT(Output!E251/12))*12,3)-INT(ROUND((Output!E251/12-INT(Output!E251/12))*12,3)),1/8)=0,"",VLOOKUP(MROUND((Output!E251/12-INT(Output!E251/12))*12-INT((Output!E251/12-INT(Output!E251/12))*12),1/8),fract[],2,FALSE))&amp;"''",""),IFERROR(INT(Output!E251)&amp;" "&amp;IF(MROUND((Output!E251-INT(Output!E251)),1/8)=0,"",VLOOKUP(MROUND((Output!E251-INT(Output!E251)),1/8),fract[],2,FALSE))&amp;"''","")),"")</f>
        <v/>
      </c>
      <c r="F252" s="8"/>
      <c r="G252" s="8"/>
      <c r="H252" s="9" t="str">
        <f t="shared" si="6"/>
        <v/>
      </c>
      <c r="I252" s="9" t="str">
        <f t="shared" si="7"/>
        <v/>
      </c>
      <c r="J252" s="12" t="str">
        <f>IF(ISNUMBER(Output!F251),Output!F251,"")</f>
        <v/>
      </c>
      <c r="K252" s="12" t="str">
        <f>IF(ISNUMBER(Output!G251),Output!G251,"")</f>
        <v/>
      </c>
    </row>
    <row r="253" spans="1:11" x14ac:dyDescent="0.25">
      <c r="A253" s="9" t="str">
        <f>IF(ISBLANK(Output!A252),"",Output!A252)</f>
        <v/>
      </c>
      <c r="B253" s="9" t="str">
        <f>IF(ISBLANK(Output!B252),"",Output!B252)</f>
        <v/>
      </c>
      <c r="C253" s="9" t="str">
        <f>IF(ISNUMBER(Output!C252),IF(Output!C252&gt;=12,IFERROR(ROUND(INT(Output!C252)/12,0)&amp;"'-"&amp;INT(ROUND((Output!C252/12-INT(Output!C252/12))*12,2))&amp;" "&amp;IF(MROUND(ROUND((Output!C252/12-INT(Output!C252/12))*12,3)-INT(ROUND((Output!C252/12-INT(Output!C252/12))*12,3)),1/8)=0,"",VLOOKUP(MROUND((Output!C252/12-INT(Output!C252/12))*12-INT((Output!C252/12-INT(Output!C252/12))*12),1/8),fract[],2,FALSE))&amp;"''",""),IFERROR(INT(Output!C252)&amp;" "&amp;IF(MROUND((Output!C252-INT(Output!C252)),1/8)=0,"",VLOOKUP(MROUND((Output!C252-INT(Output!C252)),1/8),fract[],2,FALSE))&amp;"''","")),"")</f>
        <v/>
      </c>
      <c r="D253" s="9" t="str">
        <f>IF(ISNUMBER(Output!D252),IFERROR(ROUND(INT(Output!D252/12),3)&amp;"'-"&amp;INT(ROUND((Output!D252/12-INT(Output!D252/12))*12,3))&amp;" "&amp;IF(MROUND(ROUND((Output!D252/12-INT(Output!D252/12))*12,3)-INT(ROUND((Output!D252/12-INT(Output!D252/12))*12,3)),1/8)=0,"",VLOOKUP(MROUND((Output!D252/12-INT(Output!D252/12))*12-INT((Output!D252/12-INT(Output!D252/12))*12),1/8),fract[],2,FALSE))&amp;"''",""),"")</f>
        <v/>
      </c>
      <c r="E253" s="9" t="str">
        <f>IF(ISNUMBER(Output!E252),IF(Output!E252&gt;=12,IFERROR(ROUND(INT(Output!E252)/12,0)&amp;"'-"&amp;INT(ROUND((Output!E252/12-INT(Output!E252/12))*12,2))&amp;" "&amp;IF(MROUND(ROUND((Output!E252/12-INT(Output!E252/12))*12,3)-INT(ROUND((Output!E252/12-INT(Output!E252/12))*12,3)),1/8)=0,"",VLOOKUP(MROUND((Output!E252/12-INT(Output!E252/12))*12-INT((Output!E252/12-INT(Output!E252/12))*12),1/8),fract[],2,FALSE))&amp;"''",""),IFERROR(INT(Output!E252)&amp;" "&amp;IF(MROUND((Output!E252-INT(Output!E252)),1/8)=0,"",VLOOKUP(MROUND((Output!E252-INT(Output!E252)),1/8),fract[],2,FALSE))&amp;"''","")),"")</f>
        <v/>
      </c>
      <c r="F253" s="8"/>
      <c r="G253" s="8"/>
      <c r="H253" s="9" t="str">
        <f t="shared" si="6"/>
        <v/>
      </c>
      <c r="I253" s="9" t="str">
        <f t="shared" si="7"/>
        <v/>
      </c>
      <c r="J253" s="12" t="str">
        <f>IF(ISNUMBER(Output!F252),Output!F252,"")</f>
        <v/>
      </c>
      <c r="K253" s="12" t="str">
        <f>IF(ISNUMBER(Output!G252),Output!G252,"")</f>
        <v/>
      </c>
    </row>
    <row r="254" spans="1:11" x14ac:dyDescent="0.25">
      <c r="A254" s="9" t="str">
        <f>IF(ISBLANK(Output!A253),"",Output!A253)</f>
        <v/>
      </c>
      <c r="B254" s="9" t="str">
        <f>IF(ISBLANK(Output!B253),"",Output!B253)</f>
        <v/>
      </c>
      <c r="C254" s="9" t="str">
        <f>IF(ISNUMBER(Output!C253),IF(Output!C253&gt;=12,IFERROR(ROUND(INT(Output!C253)/12,0)&amp;"'-"&amp;INT(ROUND((Output!C253/12-INT(Output!C253/12))*12,2))&amp;" "&amp;IF(MROUND(ROUND((Output!C253/12-INT(Output!C253/12))*12,3)-INT(ROUND((Output!C253/12-INT(Output!C253/12))*12,3)),1/8)=0,"",VLOOKUP(MROUND((Output!C253/12-INT(Output!C253/12))*12-INT((Output!C253/12-INT(Output!C253/12))*12),1/8),fract[],2,FALSE))&amp;"''",""),IFERROR(INT(Output!C253)&amp;" "&amp;IF(MROUND((Output!C253-INT(Output!C253)),1/8)=0,"",VLOOKUP(MROUND((Output!C253-INT(Output!C253)),1/8),fract[],2,FALSE))&amp;"''","")),"")</f>
        <v/>
      </c>
      <c r="D254" s="9" t="str">
        <f>IF(ISNUMBER(Output!D253),IFERROR(ROUND(INT(Output!D253/12),3)&amp;"'-"&amp;INT(ROUND((Output!D253/12-INT(Output!D253/12))*12,3))&amp;" "&amp;IF(MROUND(ROUND((Output!D253/12-INT(Output!D253/12))*12,3)-INT(ROUND((Output!D253/12-INT(Output!D253/12))*12,3)),1/8)=0,"",VLOOKUP(MROUND((Output!D253/12-INT(Output!D253/12))*12-INT((Output!D253/12-INT(Output!D253/12))*12),1/8),fract[],2,FALSE))&amp;"''",""),"")</f>
        <v/>
      </c>
      <c r="E254" s="9" t="str">
        <f>IF(ISNUMBER(Output!E253),IF(Output!E253&gt;=12,IFERROR(ROUND(INT(Output!E253)/12,0)&amp;"'-"&amp;INT(ROUND((Output!E253/12-INT(Output!E253/12))*12,2))&amp;" "&amp;IF(MROUND(ROUND((Output!E253/12-INT(Output!E253/12))*12,3)-INT(ROUND((Output!E253/12-INT(Output!E253/12))*12,3)),1/8)=0,"",VLOOKUP(MROUND((Output!E253/12-INT(Output!E253/12))*12-INT((Output!E253/12-INT(Output!E253/12))*12),1/8),fract[],2,FALSE))&amp;"''",""),IFERROR(INT(Output!E253)&amp;" "&amp;IF(MROUND((Output!E253-INT(Output!E253)),1/8)=0,"",VLOOKUP(MROUND((Output!E253-INT(Output!E253)),1/8),fract[],2,FALSE))&amp;"''","")),"")</f>
        <v/>
      </c>
      <c r="F254" s="8"/>
      <c r="G254" s="8"/>
      <c r="H254" s="9" t="str">
        <f t="shared" si="6"/>
        <v/>
      </c>
      <c r="I254" s="9" t="str">
        <f t="shared" si="7"/>
        <v/>
      </c>
      <c r="J254" s="12" t="str">
        <f>IF(ISNUMBER(Output!F253),Output!F253,"")</f>
        <v/>
      </c>
      <c r="K254" s="12" t="str">
        <f>IF(ISNUMBER(Output!G253),Output!G253,"")</f>
        <v/>
      </c>
    </row>
    <row r="255" spans="1:11" x14ac:dyDescent="0.25">
      <c r="A255" s="9" t="str">
        <f>IF(ISBLANK(Output!A254),"",Output!A254)</f>
        <v/>
      </c>
      <c r="B255" s="9" t="str">
        <f>IF(ISBLANK(Output!B254),"",Output!B254)</f>
        <v/>
      </c>
      <c r="C255" s="9" t="str">
        <f>IF(ISNUMBER(Output!C254),IF(Output!C254&gt;=12,IFERROR(ROUND(INT(Output!C254)/12,0)&amp;"'-"&amp;INT(ROUND((Output!C254/12-INT(Output!C254/12))*12,2))&amp;" "&amp;IF(MROUND(ROUND((Output!C254/12-INT(Output!C254/12))*12,3)-INT(ROUND((Output!C254/12-INT(Output!C254/12))*12,3)),1/8)=0,"",VLOOKUP(MROUND((Output!C254/12-INT(Output!C254/12))*12-INT((Output!C254/12-INT(Output!C254/12))*12),1/8),fract[],2,FALSE))&amp;"''",""),IFERROR(INT(Output!C254)&amp;" "&amp;IF(MROUND((Output!C254-INT(Output!C254)),1/8)=0,"",VLOOKUP(MROUND((Output!C254-INT(Output!C254)),1/8),fract[],2,FALSE))&amp;"''","")),"")</f>
        <v/>
      </c>
      <c r="D255" s="9" t="str">
        <f>IF(ISNUMBER(Output!D254),IFERROR(ROUND(INT(Output!D254/12),3)&amp;"'-"&amp;INT(ROUND((Output!D254/12-INT(Output!D254/12))*12,3))&amp;" "&amp;IF(MROUND(ROUND((Output!D254/12-INT(Output!D254/12))*12,3)-INT(ROUND((Output!D254/12-INT(Output!D254/12))*12,3)),1/8)=0,"",VLOOKUP(MROUND((Output!D254/12-INT(Output!D254/12))*12-INT((Output!D254/12-INT(Output!D254/12))*12),1/8),fract[],2,FALSE))&amp;"''",""),"")</f>
        <v/>
      </c>
      <c r="E255" s="9" t="str">
        <f>IF(ISNUMBER(Output!E254),IF(Output!E254&gt;=12,IFERROR(ROUND(INT(Output!E254)/12,0)&amp;"'-"&amp;INT(ROUND((Output!E254/12-INT(Output!E254/12))*12,2))&amp;" "&amp;IF(MROUND(ROUND((Output!E254/12-INT(Output!E254/12))*12,3)-INT(ROUND((Output!E254/12-INT(Output!E254/12))*12,3)),1/8)=0,"",VLOOKUP(MROUND((Output!E254/12-INT(Output!E254/12))*12-INT((Output!E254/12-INT(Output!E254/12))*12),1/8),fract[],2,FALSE))&amp;"''",""),IFERROR(INT(Output!E254)&amp;" "&amp;IF(MROUND((Output!E254-INT(Output!E254)),1/8)=0,"",VLOOKUP(MROUND((Output!E254-INT(Output!E254)),1/8),fract[],2,FALSE))&amp;"''","")),"")</f>
        <v/>
      </c>
      <c r="F255" s="8"/>
      <c r="G255" s="8"/>
      <c r="H255" s="9" t="str">
        <f t="shared" si="6"/>
        <v/>
      </c>
      <c r="I255" s="9" t="str">
        <f t="shared" si="7"/>
        <v/>
      </c>
      <c r="J255" s="12" t="str">
        <f>IF(ISNUMBER(Output!F254),Output!F254,"")</f>
        <v/>
      </c>
      <c r="K255" s="12" t="str">
        <f>IF(ISNUMBER(Output!G254),Output!G254,"")</f>
        <v/>
      </c>
    </row>
    <row r="256" spans="1:11" x14ac:dyDescent="0.25">
      <c r="A256" s="9" t="str">
        <f>IF(ISBLANK(Output!A255),"",Output!A255)</f>
        <v/>
      </c>
      <c r="B256" s="9" t="str">
        <f>IF(ISBLANK(Output!B255),"",Output!B255)</f>
        <v/>
      </c>
      <c r="C256" s="9" t="str">
        <f>IF(ISNUMBER(Output!C255),IF(Output!C255&gt;=12,IFERROR(ROUND(INT(Output!C255)/12,0)&amp;"'-"&amp;INT(ROUND((Output!C255/12-INT(Output!C255/12))*12,2))&amp;" "&amp;IF(MROUND(ROUND((Output!C255/12-INT(Output!C255/12))*12,3)-INT(ROUND((Output!C255/12-INT(Output!C255/12))*12,3)),1/8)=0,"",VLOOKUP(MROUND((Output!C255/12-INT(Output!C255/12))*12-INT((Output!C255/12-INT(Output!C255/12))*12),1/8),fract[],2,FALSE))&amp;"''",""),IFERROR(INT(Output!C255)&amp;" "&amp;IF(MROUND((Output!C255-INT(Output!C255)),1/8)=0,"",VLOOKUP(MROUND((Output!C255-INT(Output!C255)),1/8),fract[],2,FALSE))&amp;"''","")),"")</f>
        <v/>
      </c>
      <c r="D256" s="9" t="str">
        <f>IF(ISNUMBER(Output!D255),IFERROR(ROUND(INT(Output!D255/12),3)&amp;"'-"&amp;INT(ROUND((Output!D255/12-INT(Output!D255/12))*12,3))&amp;" "&amp;IF(MROUND(ROUND((Output!D255/12-INT(Output!D255/12))*12,3)-INT(ROUND((Output!D255/12-INT(Output!D255/12))*12,3)),1/8)=0,"",VLOOKUP(MROUND((Output!D255/12-INT(Output!D255/12))*12-INT((Output!D255/12-INT(Output!D255/12))*12),1/8),fract[],2,FALSE))&amp;"''",""),"")</f>
        <v/>
      </c>
      <c r="E256" s="9" t="str">
        <f>IF(ISNUMBER(Output!E255),IF(Output!E255&gt;=12,IFERROR(ROUND(INT(Output!E255)/12,0)&amp;"'-"&amp;INT(ROUND((Output!E255/12-INT(Output!E255/12))*12,2))&amp;" "&amp;IF(MROUND(ROUND((Output!E255/12-INT(Output!E255/12))*12,3)-INT(ROUND((Output!E255/12-INT(Output!E255/12))*12,3)),1/8)=0,"",VLOOKUP(MROUND((Output!E255/12-INT(Output!E255/12))*12-INT((Output!E255/12-INT(Output!E255/12))*12),1/8),fract[],2,FALSE))&amp;"''",""),IFERROR(INT(Output!E255)&amp;" "&amp;IF(MROUND((Output!E255-INT(Output!E255)),1/8)=0,"",VLOOKUP(MROUND((Output!E255-INT(Output!E255)),1/8),fract[],2,FALSE))&amp;"''","")),"")</f>
        <v/>
      </c>
      <c r="F256" s="8"/>
      <c r="G256" s="8"/>
      <c r="H256" s="9" t="str">
        <f t="shared" si="6"/>
        <v/>
      </c>
      <c r="I256" s="9" t="str">
        <f t="shared" si="7"/>
        <v/>
      </c>
      <c r="J256" s="12" t="str">
        <f>IF(ISNUMBER(Output!F255),Output!F255,"")</f>
        <v/>
      </c>
      <c r="K256" s="12" t="str">
        <f>IF(ISNUMBER(Output!G255),Output!G255,"")</f>
        <v/>
      </c>
    </row>
    <row r="257" spans="1:11" x14ac:dyDescent="0.25">
      <c r="A257" s="9" t="str">
        <f>IF(ISBLANK(Output!A256),"",Output!A256)</f>
        <v/>
      </c>
      <c r="B257" s="9" t="str">
        <f>IF(ISBLANK(Output!B256),"",Output!B256)</f>
        <v/>
      </c>
      <c r="C257" s="9" t="str">
        <f>IF(ISNUMBER(Output!C256),IF(Output!C256&gt;=12,IFERROR(ROUND(INT(Output!C256)/12,0)&amp;"'-"&amp;INT(ROUND((Output!C256/12-INT(Output!C256/12))*12,2))&amp;" "&amp;IF(MROUND(ROUND((Output!C256/12-INT(Output!C256/12))*12,3)-INT(ROUND((Output!C256/12-INT(Output!C256/12))*12,3)),1/8)=0,"",VLOOKUP(MROUND((Output!C256/12-INT(Output!C256/12))*12-INT((Output!C256/12-INT(Output!C256/12))*12),1/8),fract[],2,FALSE))&amp;"''",""),IFERROR(INT(Output!C256)&amp;" "&amp;IF(MROUND((Output!C256-INT(Output!C256)),1/8)=0,"",VLOOKUP(MROUND((Output!C256-INT(Output!C256)),1/8),fract[],2,FALSE))&amp;"''","")),"")</f>
        <v/>
      </c>
      <c r="D257" s="9" t="str">
        <f>IF(ISNUMBER(Output!D256),IFERROR(ROUND(INT(Output!D256/12),3)&amp;"'-"&amp;INT(ROUND((Output!D256/12-INT(Output!D256/12))*12,3))&amp;" "&amp;IF(MROUND(ROUND((Output!D256/12-INT(Output!D256/12))*12,3)-INT(ROUND((Output!D256/12-INT(Output!D256/12))*12,3)),1/8)=0,"",VLOOKUP(MROUND((Output!D256/12-INT(Output!D256/12))*12-INT((Output!D256/12-INT(Output!D256/12))*12),1/8),fract[],2,FALSE))&amp;"''",""),"")</f>
        <v/>
      </c>
      <c r="E257" s="9" t="str">
        <f>IF(ISNUMBER(Output!E256),IF(Output!E256&gt;=12,IFERROR(ROUND(INT(Output!E256)/12,0)&amp;"'-"&amp;INT(ROUND((Output!E256/12-INT(Output!E256/12))*12,2))&amp;" "&amp;IF(MROUND(ROUND((Output!E256/12-INT(Output!E256/12))*12,3)-INT(ROUND((Output!E256/12-INT(Output!E256/12))*12,3)),1/8)=0,"",VLOOKUP(MROUND((Output!E256/12-INT(Output!E256/12))*12-INT((Output!E256/12-INT(Output!E256/12))*12),1/8),fract[],2,FALSE))&amp;"''",""),IFERROR(INT(Output!E256)&amp;" "&amp;IF(MROUND((Output!E256-INT(Output!E256)),1/8)=0,"",VLOOKUP(MROUND((Output!E256-INT(Output!E256)),1/8),fract[],2,FALSE))&amp;"''","")),"")</f>
        <v/>
      </c>
      <c r="F257" s="8"/>
      <c r="G257" s="8"/>
      <c r="H257" s="9" t="str">
        <f t="shared" si="6"/>
        <v/>
      </c>
      <c r="I257" s="9" t="str">
        <f t="shared" si="7"/>
        <v/>
      </c>
      <c r="J257" s="12" t="str">
        <f>IF(ISNUMBER(Output!F256),Output!F256,"")</f>
        <v/>
      </c>
      <c r="K257" s="12" t="str">
        <f>IF(ISNUMBER(Output!G256),Output!G256,"")</f>
        <v/>
      </c>
    </row>
    <row r="258" spans="1:11" x14ac:dyDescent="0.25">
      <c r="A258" s="9" t="str">
        <f>IF(ISBLANK(Output!A257),"",Output!A257)</f>
        <v/>
      </c>
      <c r="B258" s="9" t="str">
        <f>IF(ISBLANK(Output!B257),"",Output!B257)</f>
        <v/>
      </c>
      <c r="C258" s="9" t="str">
        <f>IF(ISNUMBER(Output!C257),IF(Output!C257&gt;=12,IFERROR(ROUND(INT(Output!C257)/12,0)&amp;"'-"&amp;INT(ROUND((Output!C257/12-INT(Output!C257/12))*12,2))&amp;" "&amp;IF(MROUND(ROUND((Output!C257/12-INT(Output!C257/12))*12,3)-INT(ROUND((Output!C257/12-INT(Output!C257/12))*12,3)),1/8)=0,"",VLOOKUP(MROUND((Output!C257/12-INT(Output!C257/12))*12-INT((Output!C257/12-INT(Output!C257/12))*12),1/8),fract[],2,FALSE))&amp;"''",""),IFERROR(INT(Output!C257)&amp;" "&amp;IF(MROUND((Output!C257-INT(Output!C257)),1/8)=0,"",VLOOKUP(MROUND((Output!C257-INT(Output!C257)),1/8),fract[],2,FALSE))&amp;"''","")),"")</f>
        <v/>
      </c>
      <c r="D258" s="9" t="str">
        <f>IF(ISNUMBER(Output!D257),IFERROR(ROUND(INT(Output!D257/12),3)&amp;"'-"&amp;INT(ROUND((Output!D257/12-INT(Output!D257/12))*12,3))&amp;" "&amp;IF(MROUND(ROUND((Output!D257/12-INT(Output!D257/12))*12,3)-INT(ROUND((Output!D257/12-INT(Output!D257/12))*12,3)),1/8)=0,"",VLOOKUP(MROUND((Output!D257/12-INT(Output!D257/12))*12-INT((Output!D257/12-INT(Output!D257/12))*12),1/8),fract[],2,FALSE))&amp;"''",""),"")</f>
        <v/>
      </c>
      <c r="E258" s="9" t="str">
        <f>IF(ISNUMBER(Output!E257),IF(Output!E257&gt;=12,IFERROR(ROUND(INT(Output!E257)/12,0)&amp;"'-"&amp;INT(ROUND((Output!E257/12-INT(Output!E257/12))*12,2))&amp;" "&amp;IF(MROUND(ROUND((Output!E257/12-INT(Output!E257/12))*12,3)-INT(ROUND((Output!E257/12-INT(Output!E257/12))*12,3)),1/8)=0,"",VLOOKUP(MROUND((Output!E257/12-INT(Output!E257/12))*12-INT((Output!E257/12-INT(Output!E257/12))*12),1/8),fract[],2,FALSE))&amp;"''",""),IFERROR(INT(Output!E257)&amp;" "&amp;IF(MROUND((Output!E257-INT(Output!E257)),1/8)=0,"",VLOOKUP(MROUND((Output!E257-INT(Output!E257)),1/8),fract[],2,FALSE))&amp;"''","")),"")</f>
        <v/>
      </c>
      <c r="F258" s="8"/>
      <c r="G258" s="8"/>
      <c r="H258" s="9" t="str">
        <f t="shared" si="6"/>
        <v/>
      </c>
      <c r="I258" s="9" t="str">
        <f t="shared" si="7"/>
        <v/>
      </c>
      <c r="J258" s="12" t="str">
        <f>IF(ISNUMBER(Output!F257),Output!F257,"")</f>
        <v/>
      </c>
      <c r="K258" s="12" t="str">
        <f>IF(ISNUMBER(Output!G257),Output!G257,"")</f>
        <v/>
      </c>
    </row>
    <row r="259" spans="1:11" x14ac:dyDescent="0.25">
      <c r="A259" s="9" t="str">
        <f>IF(ISBLANK(Output!A258),"",Output!A258)</f>
        <v/>
      </c>
      <c r="B259" s="9" t="str">
        <f>IF(ISBLANK(Output!B258),"",Output!B258)</f>
        <v/>
      </c>
      <c r="C259" s="9" t="str">
        <f>IF(ISNUMBER(Output!C258),IF(Output!C258&gt;=12,IFERROR(ROUND(INT(Output!C258)/12,0)&amp;"'-"&amp;INT(ROUND((Output!C258/12-INT(Output!C258/12))*12,2))&amp;" "&amp;IF(MROUND(ROUND((Output!C258/12-INT(Output!C258/12))*12,3)-INT(ROUND((Output!C258/12-INT(Output!C258/12))*12,3)),1/8)=0,"",VLOOKUP(MROUND((Output!C258/12-INT(Output!C258/12))*12-INT((Output!C258/12-INT(Output!C258/12))*12),1/8),fract[],2,FALSE))&amp;"''",""),IFERROR(INT(Output!C258)&amp;" "&amp;IF(MROUND((Output!C258-INT(Output!C258)),1/8)=0,"",VLOOKUP(MROUND((Output!C258-INT(Output!C258)),1/8),fract[],2,FALSE))&amp;"''","")),"")</f>
        <v/>
      </c>
      <c r="D259" s="9" t="str">
        <f>IF(ISNUMBER(Output!D258),IFERROR(ROUND(INT(Output!D258/12),3)&amp;"'-"&amp;INT(ROUND((Output!D258/12-INT(Output!D258/12))*12,3))&amp;" "&amp;IF(MROUND(ROUND((Output!D258/12-INT(Output!D258/12))*12,3)-INT(ROUND((Output!D258/12-INT(Output!D258/12))*12,3)),1/8)=0,"",VLOOKUP(MROUND((Output!D258/12-INT(Output!D258/12))*12-INT((Output!D258/12-INT(Output!D258/12))*12),1/8),fract[],2,FALSE))&amp;"''",""),"")</f>
        <v/>
      </c>
      <c r="E259" s="9" t="str">
        <f>IF(ISNUMBER(Output!E258),IF(Output!E258&gt;=12,IFERROR(ROUND(INT(Output!E258)/12,0)&amp;"'-"&amp;INT(ROUND((Output!E258/12-INT(Output!E258/12))*12,2))&amp;" "&amp;IF(MROUND(ROUND((Output!E258/12-INT(Output!E258/12))*12,3)-INT(ROUND((Output!E258/12-INT(Output!E258/12))*12,3)),1/8)=0,"",VLOOKUP(MROUND((Output!E258/12-INT(Output!E258/12))*12-INT((Output!E258/12-INT(Output!E258/12))*12),1/8),fract[],2,FALSE))&amp;"''",""),IFERROR(INT(Output!E258)&amp;" "&amp;IF(MROUND((Output!E258-INT(Output!E258)),1/8)=0,"",VLOOKUP(MROUND((Output!E258-INT(Output!E258)),1/8),fract[],2,FALSE))&amp;"''","")),"")</f>
        <v/>
      </c>
      <c r="F259" s="8"/>
      <c r="G259" s="8"/>
      <c r="H259" s="9" t="str">
        <f t="shared" si="6"/>
        <v/>
      </c>
      <c r="I259" s="9" t="str">
        <f t="shared" si="7"/>
        <v/>
      </c>
      <c r="J259" s="12" t="str">
        <f>IF(ISNUMBER(Output!F258),Output!F258,"")</f>
        <v/>
      </c>
      <c r="K259" s="12" t="str">
        <f>IF(ISNUMBER(Output!G258),Output!G258,"")</f>
        <v/>
      </c>
    </row>
    <row r="260" spans="1:11" x14ac:dyDescent="0.25">
      <c r="A260" s="9" t="str">
        <f>IF(ISBLANK(Output!A259),"",Output!A259)</f>
        <v/>
      </c>
      <c r="B260" s="9" t="str">
        <f>IF(ISBLANK(Output!B259),"",Output!B259)</f>
        <v/>
      </c>
      <c r="C260" s="9" t="str">
        <f>IF(ISNUMBER(Output!C259),IF(Output!C259&gt;=12,IFERROR(ROUND(INT(Output!C259)/12,0)&amp;"'-"&amp;INT(ROUND((Output!C259/12-INT(Output!C259/12))*12,2))&amp;" "&amp;IF(MROUND(ROUND((Output!C259/12-INT(Output!C259/12))*12,3)-INT(ROUND((Output!C259/12-INT(Output!C259/12))*12,3)),1/8)=0,"",VLOOKUP(MROUND((Output!C259/12-INT(Output!C259/12))*12-INT((Output!C259/12-INT(Output!C259/12))*12),1/8),fract[],2,FALSE))&amp;"''",""),IFERROR(INT(Output!C259)&amp;" "&amp;IF(MROUND((Output!C259-INT(Output!C259)),1/8)=0,"",VLOOKUP(MROUND((Output!C259-INT(Output!C259)),1/8),fract[],2,FALSE))&amp;"''","")),"")</f>
        <v/>
      </c>
      <c r="D260" s="9" t="str">
        <f>IF(ISNUMBER(Output!D259),IFERROR(ROUND(INT(Output!D259/12),3)&amp;"'-"&amp;INT(ROUND((Output!D259/12-INT(Output!D259/12))*12,3))&amp;" "&amp;IF(MROUND(ROUND((Output!D259/12-INT(Output!D259/12))*12,3)-INT(ROUND((Output!D259/12-INT(Output!D259/12))*12,3)),1/8)=0,"",VLOOKUP(MROUND((Output!D259/12-INT(Output!D259/12))*12-INT((Output!D259/12-INT(Output!D259/12))*12),1/8),fract[],2,FALSE))&amp;"''",""),"")</f>
        <v/>
      </c>
      <c r="E260" s="9" t="str">
        <f>IF(ISNUMBER(Output!E259),IF(Output!E259&gt;=12,IFERROR(ROUND(INT(Output!E259)/12,0)&amp;"'-"&amp;INT(ROUND((Output!E259/12-INT(Output!E259/12))*12,2))&amp;" "&amp;IF(MROUND(ROUND((Output!E259/12-INT(Output!E259/12))*12,3)-INT(ROUND((Output!E259/12-INT(Output!E259/12))*12,3)),1/8)=0,"",VLOOKUP(MROUND((Output!E259/12-INT(Output!E259/12))*12-INT((Output!E259/12-INT(Output!E259/12))*12),1/8),fract[],2,FALSE))&amp;"''",""),IFERROR(INT(Output!E259)&amp;" "&amp;IF(MROUND((Output!E259-INT(Output!E259)),1/8)=0,"",VLOOKUP(MROUND((Output!E259-INT(Output!E259)),1/8),fract[],2,FALSE))&amp;"''","")),"")</f>
        <v/>
      </c>
      <c r="F260" s="8"/>
      <c r="G260" s="8"/>
      <c r="H260" s="9" t="str">
        <f t="shared" si="6"/>
        <v/>
      </c>
      <c r="I260" s="9" t="str">
        <f t="shared" si="7"/>
        <v/>
      </c>
      <c r="J260" s="12" t="str">
        <f>IF(ISNUMBER(Output!F259),Output!F259,"")</f>
        <v/>
      </c>
      <c r="K260" s="12" t="str">
        <f>IF(ISNUMBER(Output!G259),Output!G259,"")</f>
        <v/>
      </c>
    </row>
    <row r="261" spans="1:11" x14ac:dyDescent="0.25">
      <c r="A261" s="9" t="str">
        <f>IF(ISBLANK(Output!A260),"",Output!A260)</f>
        <v/>
      </c>
      <c r="B261" s="9" t="str">
        <f>IF(ISBLANK(Output!B260),"",Output!B260)</f>
        <v/>
      </c>
      <c r="C261" s="9" t="str">
        <f>IF(ISNUMBER(Output!C260),IF(Output!C260&gt;=12,IFERROR(ROUND(INT(Output!C260)/12,0)&amp;"'-"&amp;INT(ROUND((Output!C260/12-INT(Output!C260/12))*12,2))&amp;" "&amp;IF(MROUND(ROUND((Output!C260/12-INT(Output!C260/12))*12,3)-INT(ROUND((Output!C260/12-INT(Output!C260/12))*12,3)),1/8)=0,"",VLOOKUP(MROUND((Output!C260/12-INT(Output!C260/12))*12-INT((Output!C260/12-INT(Output!C260/12))*12),1/8),fract[],2,FALSE))&amp;"''",""),IFERROR(INT(Output!C260)&amp;" "&amp;IF(MROUND((Output!C260-INT(Output!C260)),1/8)=0,"",VLOOKUP(MROUND((Output!C260-INT(Output!C260)),1/8),fract[],2,FALSE))&amp;"''","")),"")</f>
        <v/>
      </c>
      <c r="D261" s="9" t="str">
        <f>IF(ISNUMBER(Output!D260),IFERROR(ROUND(INT(Output!D260/12),3)&amp;"'-"&amp;INT(ROUND((Output!D260/12-INT(Output!D260/12))*12,3))&amp;" "&amp;IF(MROUND(ROUND((Output!D260/12-INT(Output!D260/12))*12,3)-INT(ROUND((Output!D260/12-INT(Output!D260/12))*12,3)),1/8)=0,"",VLOOKUP(MROUND((Output!D260/12-INT(Output!D260/12))*12-INT((Output!D260/12-INT(Output!D260/12))*12),1/8),fract[],2,FALSE))&amp;"''",""),"")</f>
        <v/>
      </c>
      <c r="E261" s="9" t="str">
        <f>IF(ISNUMBER(Output!E260),IF(Output!E260&gt;=12,IFERROR(ROUND(INT(Output!E260)/12,0)&amp;"'-"&amp;INT(ROUND((Output!E260/12-INT(Output!E260/12))*12,2))&amp;" "&amp;IF(MROUND(ROUND((Output!E260/12-INT(Output!E260/12))*12,3)-INT(ROUND((Output!E260/12-INT(Output!E260/12))*12,3)),1/8)=0,"",VLOOKUP(MROUND((Output!E260/12-INT(Output!E260/12))*12-INT((Output!E260/12-INT(Output!E260/12))*12),1/8),fract[],2,FALSE))&amp;"''",""),IFERROR(INT(Output!E260)&amp;" "&amp;IF(MROUND((Output!E260-INT(Output!E260)),1/8)=0,"",VLOOKUP(MROUND((Output!E260-INT(Output!E260)),1/8),fract[],2,FALSE))&amp;"''","")),"")</f>
        <v/>
      </c>
      <c r="F261" s="8"/>
      <c r="G261" s="8"/>
      <c r="H261" s="9" t="str">
        <f t="shared" ref="H261:H324" si="8">A261</f>
        <v/>
      </c>
      <c r="I261" s="9" t="str">
        <f t="shared" ref="I261:I324" si="9">B261</f>
        <v/>
      </c>
      <c r="J261" s="12" t="str">
        <f>IF(ISNUMBER(Output!F260),Output!F260,"")</f>
        <v/>
      </c>
      <c r="K261" s="12" t="str">
        <f>IF(ISNUMBER(Output!G260),Output!G260,"")</f>
        <v/>
      </c>
    </row>
    <row r="262" spans="1:11" x14ac:dyDescent="0.25">
      <c r="A262" s="9" t="str">
        <f>IF(ISBLANK(Output!A261),"",Output!A261)</f>
        <v/>
      </c>
      <c r="B262" s="9" t="str">
        <f>IF(ISBLANK(Output!B261),"",Output!B261)</f>
        <v/>
      </c>
      <c r="C262" s="9" t="str">
        <f>IF(ISNUMBER(Output!C261),IF(Output!C261&gt;=12,IFERROR(ROUND(INT(Output!C261)/12,0)&amp;"'-"&amp;INT(ROUND((Output!C261/12-INT(Output!C261/12))*12,2))&amp;" "&amp;IF(MROUND(ROUND((Output!C261/12-INT(Output!C261/12))*12,3)-INT(ROUND((Output!C261/12-INT(Output!C261/12))*12,3)),1/8)=0,"",VLOOKUP(MROUND((Output!C261/12-INT(Output!C261/12))*12-INT((Output!C261/12-INT(Output!C261/12))*12),1/8),fract[],2,FALSE))&amp;"''",""),IFERROR(INT(Output!C261)&amp;" "&amp;IF(MROUND((Output!C261-INT(Output!C261)),1/8)=0,"",VLOOKUP(MROUND((Output!C261-INT(Output!C261)),1/8),fract[],2,FALSE))&amp;"''","")),"")</f>
        <v/>
      </c>
      <c r="D262" s="9" t="str">
        <f>IF(ISNUMBER(Output!D261),IFERROR(ROUND(INT(Output!D261/12),3)&amp;"'-"&amp;INT(ROUND((Output!D261/12-INT(Output!D261/12))*12,3))&amp;" "&amp;IF(MROUND(ROUND((Output!D261/12-INT(Output!D261/12))*12,3)-INT(ROUND((Output!D261/12-INT(Output!D261/12))*12,3)),1/8)=0,"",VLOOKUP(MROUND((Output!D261/12-INT(Output!D261/12))*12-INT((Output!D261/12-INT(Output!D261/12))*12),1/8),fract[],2,FALSE))&amp;"''",""),"")</f>
        <v/>
      </c>
      <c r="E262" s="9" t="str">
        <f>IF(ISNUMBER(Output!E261),IF(Output!E261&gt;=12,IFERROR(ROUND(INT(Output!E261)/12,0)&amp;"'-"&amp;INT(ROUND((Output!E261/12-INT(Output!E261/12))*12,2))&amp;" "&amp;IF(MROUND(ROUND((Output!E261/12-INT(Output!E261/12))*12,3)-INT(ROUND((Output!E261/12-INT(Output!E261/12))*12,3)),1/8)=0,"",VLOOKUP(MROUND((Output!E261/12-INT(Output!E261/12))*12-INT((Output!E261/12-INT(Output!E261/12))*12),1/8),fract[],2,FALSE))&amp;"''",""),IFERROR(INT(Output!E261)&amp;" "&amp;IF(MROUND((Output!E261-INT(Output!E261)),1/8)=0,"",VLOOKUP(MROUND((Output!E261-INT(Output!E261)),1/8),fract[],2,FALSE))&amp;"''","")),"")</f>
        <v/>
      </c>
      <c r="F262" s="8"/>
      <c r="G262" s="8"/>
      <c r="H262" s="9" t="str">
        <f t="shared" si="8"/>
        <v/>
      </c>
      <c r="I262" s="9" t="str">
        <f t="shared" si="9"/>
        <v/>
      </c>
      <c r="J262" s="12" t="str">
        <f>IF(ISNUMBER(Output!F261),Output!F261,"")</f>
        <v/>
      </c>
      <c r="K262" s="12" t="str">
        <f>IF(ISNUMBER(Output!G261),Output!G261,"")</f>
        <v/>
      </c>
    </row>
    <row r="263" spans="1:11" x14ac:dyDescent="0.25">
      <c r="A263" s="9" t="str">
        <f>IF(ISBLANK(Output!A262),"",Output!A262)</f>
        <v/>
      </c>
      <c r="B263" s="9" t="str">
        <f>IF(ISBLANK(Output!B262),"",Output!B262)</f>
        <v/>
      </c>
      <c r="C263" s="9" t="str">
        <f>IF(ISNUMBER(Output!C262),IF(Output!C262&gt;=12,IFERROR(ROUND(INT(Output!C262)/12,0)&amp;"'-"&amp;INT(ROUND((Output!C262/12-INT(Output!C262/12))*12,2))&amp;" "&amp;IF(MROUND(ROUND((Output!C262/12-INT(Output!C262/12))*12,3)-INT(ROUND((Output!C262/12-INT(Output!C262/12))*12,3)),1/8)=0,"",VLOOKUP(MROUND((Output!C262/12-INT(Output!C262/12))*12-INT((Output!C262/12-INT(Output!C262/12))*12),1/8),fract[],2,FALSE))&amp;"''",""),IFERROR(INT(Output!C262)&amp;" "&amp;IF(MROUND((Output!C262-INT(Output!C262)),1/8)=0,"",VLOOKUP(MROUND((Output!C262-INT(Output!C262)),1/8),fract[],2,FALSE))&amp;"''","")),"")</f>
        <v/>
      </c>
      <c r="D263" s="9" t="str">
        <f>IF(ISNUMBER(Output!D262),IFERROR(ROUND(INT(Output!D262/12),3)&amp;"'-"&amp;INT(ROUND((Output!D262/12-INT(Output!D262/12))*12,3))&amp;" "&amp;IF(MROUND(ROUND((Output!D262/12-INT(Output!D262/12))*12,3)-INT(ROUND((Output!D262/12-INT(Output!D262/12))*12,3)),1/8)=0,"",VLOOKUP(MROUND((Output!D262/12-INT(Output!D262/12))*12-INT((Output!D262/12-INT(Output!D262/12))*12),1/8),fract[],2,FALSE))&amp;"''",""),"")</f>
        <v/>
      </c>
      <c r="E263" s="9" t="str">
        <f>IF(ISNUMBER(Output!E262),IF(Output!E262&gt;=12,IFERROR(ROUND(INT(Output!E262)/12,0)&amp;"'-"&amp;INT(ROUND((Output!E262/12-INT(Output!E262/12))*12,2))&amp;" "&amp;IF(MROUND(ROUND((Output!E262/12-INT(Output!E262/12))*12,3)-INT(ROUND((Output!E262/12-INT(Output!E262/12))*12,3)),1/8)=0,"",VLOOKUP(MROUND((Output!E262/12-INT(Output!E262/12))*12-INT((Output!E262/12-INT(Output!E262/12))*12),1/8),fract[],2,FALSE))&amp;"''",""),IFERROR(INT(Output!E262)&amp;" "&amp;IF(MROUND((Output!E262-INT(Output!E262)),1/8)=0,"",VLOOKUP(MROUND((Output!E262-INT(Output!E262)),1/8),fract[],2,FALSE))&amp;"''","")),"")</f>
        <v/>
      </c>
      <c r="F263" s="8"/>
      <c r="G263" s="8"/>
      <c r="H263" s="9" t="str">
        <f t="shared" si="8"/>
        <v/>
      </c>
      <c r="I263" s="9" t="str">
        <f t="shared" si="9"/>
        <v/>
      </c>
      <c r="J263" s="12" t="str">
        <f>IF(ISNUMBER(Output!F262),Output!F262,"")</f>
        <v/>
      </c>
      <c r="K263" s="12" t="str">
        <f>IF(ISNUMBER(Output!G262),Output!G262,"")</f>
        <v/>
      </c>
    </row>
    <row r="264" spans="1:11" x14ac:dyDescent="0.25">
      <c r="A264" s="9" t="str">
        <f>IF(ISBLANK(Output!A263),"",Output!A263)</f>
        <v/>
      </c>
      <c r="B264" s="9" t="str">
        <f>IF(ISBLANK(Output!B263),"",Output!B263)</f>
        <v/>
      </c>
      <c r="C264" s="9" t="str">
        <f>IF(ISNUMBER(Output!C263),IF(Output!C263&gt;=12,IFERROR(ROUND(INT(Output!C263)/12,0)&amp;"'-"&amp;INT(ROUND((Output!C263/12-INT(Output!C263/12))*12,2))&amp;" "&amp;IF(MROUND(ROUND((Output!C263/12-INT(Output!C263/12))*12,3)-INT(ROUND((Output!C263/12-INT(Output!C263/12))*12,3)),1/8)=0,"",VLOOKUP(MROUND((Output!C263/12-INT(Output!C263/12))*12-INT((Output!C263/12-INT(Output!C263/12))*12),1/8),fract[],2,FALSE))&amp;"''",""),IFERROR(INT(Output!C263)&amp;" "&amp;IF(MROUND((Output!C263-INT(Output!C263)),1/8)=0,"",VLOOKUP(MROUND((Output!C263-INT(Output!C263)),1/8),fract[],2,FALSE))&amp;"''","")),"")</f>
        <v/>
      </c>
      <c r="D264" s="9" t="str">
        <f>IF(ISNUMBER(Output!D263),IFERROR(ROUND(INT(Output!D263/12),3)&amp;"'-"&amp;INT(ROUND((Output!D263/12-INT(Output!D263/12))*12,3))&amp;" "&amp;IF(MROUND(ROUND((Output!D263/12-INT(Output!D263/12))*12,3)-INT(ROUND((Output!D263/12-INT(Output!D263/12))*12,3)),1/8)=0,"",VLOOKUP(MROUND((Output!D263/12-INT(Output!D263/12))*12-INT((Output!D263/12-INT(Output!D263/12))*12),1/8),fract[],2,FALSE))&amp;"''",""),"")</f>
        <v/>
      </c>
      <c r="E264" s="9" t="str">
        <f>IF(ISNUMBER(Output!E263),IF(Output!E263&gt;=12,IFERROR(ROUND(INT(Output!E263)/12,0)&amp;"'-"&amp;INT(ROUND((Output!E263/12-INT(Output!E263/12))*12,2))&amp;" "&amp;IF(MROUND(ROUND((Output!E263/12-INT(Output!E263/12))*12,3)-INT(ROUND((Output!E263/12-INT(Output!E263/12))*12,3)),1/8)=0,"",VLOOKUP(MROUND((Output!E263/12-INT(Output!E263/12))*12-INT((Output!E263/12-INT(Output!E263/12))*12),1/8),fract[],2,FALSE))&amp;"''",""),IFERROR(INT(Output!E263)&amp;" "&amp;IF(MROUND((Output!E263-INT(Output!E263)),1/8)=0,"",VLOOKUP(MROUND((Output!E263-INT(Output!E263)),1/8),fract[],2,FALSE))&amp;"''","")),"")</f>
        <v/>
      </c>
      <c r="F264" s="8"/>
      <c r="G264" s="8"/>
      <c r="H264" s="9" t="str">
        <f t="shared" si="8"/>
        <v/>
      </c>
      <c r="I264" s="9" t="str">
        <f t="shared" si="9"/>
        <v/>
      </c>
      <c r="J264" s="12" t="str">
        <f>IF(ISNUMBER(Output!F263),Output!F263,"")</f>
        <v/>
      </c>
      <c r="K264" s="12" t="str">
        <f>IF(ISNUMBER(Output!G263),Output!G263,"")</f>
        <v/>
      </c>
    </row>
    <row r="265" spans="1:11" x14ac:dyDescent="0.25">
      <c r="A265" s="9" t="str">
        <f>IF(ISBLANK(Output!A264),"",Output!A264)</f>
        <v/>
      </c>
      <c r="B265" s="9" t="str">
        <f>IF(ISBLANK(Output!B264),"",Output!B264)</f>
        <v/>
      </c>
      <c r="C265" s="9" t="str">
        <f>IF(ISNUMBER(Output!C264),IF(Output!C264&gt;=12,IFERROR(ROUND(INT(Output!C264)/12,0)&amp;"'-"&amp;INT(ROUND((Output!C264/12-INT(Output!C264/12))*12,2))&amp;" "&amp;IF(MROUND(ROUND((Output!C264/12-INT(Output!C264/12))*12,3)-INT(ROUND((Output!C264/12-INT(Output!C264/12))*12,3)),1/8)=0,"",VLOOKUP(MROUND((Output!C264/12-INT(Output!C264/12))*12-INT((Output!C264/12-INT(Output!C264/12))*12),1/8),fract[],2,FALSE))&amp;"''",""),IFERROR(INT(Output!C264)&amp;" "&amp;IF(MROUND((Output!C264-INT(Output!C264)),1/8)=0,"",VLOOKUP(MROUND((Output!C264-INT(Output!C264)),1/8),fract[],2,FALSE))&amp;"''","")),"")</f>
        <v/>
      </c>
      <c r="D265" s="9" t="str">
        <f>IF(ISNUMBER(Output!D264),IFERROR(ROUND(INT(Output!D264/12),3)&amp;"'-"&amp;INT(ROUND((Output!D264/12-INT(Output!D264/12))*12,3))&amp;" "&amp;IF(MROUND(ROUND((Output!D264/12-INT(Output!D264/12))*12,3)-INT(ROUND((Output!D264/12-INT(Output!D264/12))*12,3)),1/8)=0,"",VLOOKUP(MROUND((Output!D264/12-INT(Output!D264/12))*12-INT((Output!D264/12-INT(Output!D264/12))*12),1/8),fract[],2,FALSE))&amp;"''",""),"")</f>
        <v/>
      </c>
      <c r="E265" s="9" t="str">
        <f>IF(ISNUMBER(Output!E264),IF(Output!E264&gt;=12,IFERROR(ROUND(INT(Output!E264)/12,0)&amp;"'-"&amp;INT(ROUND((Output!E264/12-INT(Output!E264/12))*12,2))&amp;" "&amp;IF(MROUND(ROUND((Output!E264/12-INT(Output!E264/12))*12,3)-INT(ROUND((Output!E264/12-INT(Output!E264/12))*12,3)),1/8)=0,"",VLOOKUP(MROUND((Output!E264/12-INT(Output!E264/12))*12-INT((Output!E264/12-INT(Output!E264/12))*12),1/8),fract[],2,FALSE))&amp;"''",""),IFERROR(INT(Output!E264)&amp;" "&amp;IF(MROUND((Output!E264-INT(Output!E264)),1/8)=0,"",VLOOKUP(MROUND((Output!E264-INT(Output!E264)),1/8),fract[],2,FALSE))&amp;"''","")),"")</f>
        <v/>
      </c>
      <c r="F265" s="8"/>
      <c r="G265" s="8"/>
      <c r="H265" s="9" t="str">
        <f t="shared" si="8"/>
        <v/>
      </c>
      <c r="I265" s="9" t="str">
        <f t="shared" si="9"/>
        <v/>
      </c>
      <c r="J265" s="12" t="str">
        <f>IF(ISNUMBER(Output!F264),Output!F264,"")</f>
        <v/>
      </c>
      <c r="K265" s="12" t="str">
        <f>IF(ISNUMBER(Output!G264),Output!G264,"")</f>
        <v/>
      </c>
    </row>
    <row r="266" spans="1:11" x14ac:dyDescent="0.25">
      <c r="A266" s="9" t="str">
        <f>IF(ISBLANK(Output!A265),"",Output!A265)</f>
        <v/>
      </c>
      <c r="B266" s="9" t="str">
        <f>IF(ISBLANK(Output!B265),"",Output!B265)</f>
        <v/>
      </c>
      <c r="C266" s="9" t="str">
        <f>IF(ISNUMBER(Output!C265),IF(Output!C265&gt;=12,IFERROR(ROUND(INT(Output!C265)/12,0)&amp;"'-"&amp;INT(ROUND((Output!C265/12-INT(Output!C265/12))*12,2))&amp;" "&amp;IF(MROUND(ROUND((Output!C265/12-INT(Output!C265/12))*12,3)-INT(ROUND((Output!C265/12-INT(Output!C265/12))*12,3)),1/8)=0,"",VLOOKUP(MROUND((Output!C265/12-INT(Output!C265/12))*12-INT((Output!C265/12-INT(Output!C265/12))*12),1/8),fract[],2,FALSE))&amp;"''",""),IFERROR(INT(Output!C265)&amp;" "&amp;IF(MROUND((Output!C265-INT(Output!C265)),1/8)=0,"",VLOOKUP(MROUND((Output!C265-INT(Output!C265)),1/8),fract[],2,FALSE))&amp;"''","")),"")</f>
        <v/>
      </c>
      <c r="D266" s="9" t="str">
        <f>IF(ISNUMBER(Output!D265),IFERROR(ROUND(INT(Output!D265/12),3)&amp;"'-"&amp;INT(ROUND((Output!D265/12-INT(Output!D265/12))*12,3))&amp;" "&amp;IF(MROUND(ROUND((Output!D265/12-INT(Output!D265/12))*12,3)-INT(ROUND((Output!D265/12-INT(Output!D265/12))*12,3)),1/8)=0,"",VLOOKUP(MROUND((Output!D265/12-INT(Output!D265/12))*12-INT((Output!D265/12-INT(Output!D265/12))*12),1/8),fract[],2,FALSE))&amp;"''",""),"")</f>
        <v/>
      </c>
      <c r="E266" s="9" t="str">
        <f>IF(ISNUMBER(Output!E265),IF(Output!E265&gt;=12,IFERROR(ROUND(INT(Output!E265)/12,0)&amp;"'-"&amp;INT(ROUND((Output!E265/12-INT(Output!E265/12))*12,2))&amp;" "&amp;IF(MROUND(ROUND((Output!E265/12-INT(Output!E265/12))*12,3)-INT(ROUND((Output!E265/12-INT(Output!E265/12))*12,3)),1/8)=0,"",VLOOKUP(MROUND((Output!E265/12-INT(Output!E265/12))*12-INT((Output!E265/12-INT(Output!E265/12))*12),1/8),fract[],2,FALSE))&amp;"''",""),IFERROR(INT(Output!E265)&amp;" "&amp;IF(MROUND((Output!E265-INT(Output!E265)),1/8)=0,"",VLOOKUP(MROUND((Output!E265-INT(Output!E265)),1/8),fract[],2,FALSE))&amp;"''","")),"")</f>
        <v/>
      </c>
      <c r="F266" s="8"/>
      <c r="G266" s="8"/>
      <c r="H266" s="9" t="str">
        <f t="shared" si="8"/>
        <v/>
      </c>
      <c r="I266" s="9" t="str">
        <f t="shared" si="9"/>
        <v/>
      </c>
      <c r="J266" s="12" t="str">
        <f>IF(ISNUMBER(Output!F265),Output!F265,"")</f>
        <v/>
      </c>
      <c r="K266" s="12" t="str">
        <f>IF(ISNUMBER(Output!G265),Output!G265,"")</f>
        <v/>
      </c>
    </row>
    <row r="267" spans="1:11" x14ac:dyDescent="0.25">
      <c r="A267" s="9" t="str">
        <f>IF(ISBLANK(Output!A266),"",Output!A266)</f>
        <v/>
      </c>
      <c r="B267" s="9" t="str">
        <f>IF(ISBLANK(Output!B266),"",Output!B266)</f>
        <v/>
      </c>
      <c r="C267" s="9" t="str">
        <f>IF(ISNUMBER(Output!C266),IF(Output!C266&gt;=12,IFERROR(ROUND(INT(Output!C266)/12,0)&amp;"'-"&amp;INT(ROUND((Output!C266/12-INT(Output!C266/12))*12,2))&amp;" "&amp;IF(MROUND(ROUND((Output!C266/12-INT(Output!C266/12))*12,3)-INT(ROUND((Output!C266/12-INT(Output!C266/12))*12,3)),1/8)=0,"",VLOOKUP(MROUND((Output!C266/12-INT(Output!C266/12))*12-INT((Output!C266/12-INT(Output!C266/12))*12),1/8),fract[],2,FALSE))&amp;"''",""),IFERROR(INT(Output!C266)&amp;" "&amp;IF(MROUND((Output!C266-INT(Output!C266)),1/8)=0,"",VLOOKUP(MROUND((Output!C266-INT(Output!C266)),1/8),fract[],2,FALSE))&amp;"''","")),"")</f>
        <v/>
      </c>
      <c r="D267" s="9" t="str">
        <f>IF(ISNUMBER(Output!D266),IFERROR(ROUND(INT(Output!D266/12),3)&amp;"'-"&amp;INT(ROUND((Output!D266/12-INT(Output!D266/12))*12,3))&amp;" "&amp;IF(MROUND(ROUND((Output!D266/12-INT(Output!D266/12))*12,3)-INT(ROUND((Output!D266/12-INT(Output!D266/12))*12,3)),1/8)=0,"",VLOOKUP(MROUND((Output!D266/12-INT(Output!D266/12))*12-INT((Output!D266/12-INT(Output!D266/12))*12),1/8),fract[],2,FALSE))&amp;"''",""),"")</f>
        <v/>
      </c>
      <c r="E267" s="9" t="str">
        <f>IF(ISNUMBER(Output!E266),IF(Output!E266&gt;=12,IFERROR(ROUND(INT(Output!E266)/12,0)&amp;"'-"&amp;INT(ROUND((Output!E266/12-INT(Output!E266/12))*12,2))&amp;" "&amp;IF(MROUND(ROUND((Output!E266/12-INT(Output!E266/12))*12,3)-INT(ROUND((Output!E266/12-INT(Output!E266/12))*12,3)),1/8)=0,"",VLOOKUP(MROUND((Output!E266/12-INT(Output!E266/12))*12-INT((Output!E266/12-INT(Output!E266/12))*12),1/8),fract[],2,FALSE))&amp;"''",""),IFERROR(INT(Output!E266)&amp;" "&amp;IF(MROUND((Output!E266-INT(Output!E266)),1/8)=0,"",VLOOKUP(MROUND((Output!E266-INT(Output!E266)),1/8),fract[],2,FALSE))&amp;"''","")),"")</f>
        <v/>
      </c>
      <c r="F267" s="8"/>
      <c r="G267" s="8"/>
      <c r="H267" s="9" t="str">
        <f t="shared" si="8"/>
        <v/>
      </c>
      <c r="I267" s="9" t="str">
        <f t="shared" si="9"/>
        <v/>
      </c>
      <c r="J267" s="12" t="str">
        <f>IF(ISNUMBER(Output!F266),Output!F266,"")</f>
        <v/>
      </c>
      <c r="K267" s="12" t="str">
        <f>IF(ISNUMBER(Output!G266),Output!G266,"")</f>
        <v/>
      </c>
    </row>
    <row r="268" spans="1:11" x14ac:dyDescent="0.25">
      <c r="A268" s="9" t="str">
        <f>IF(ISBLANK(Output!A267),"",Output!A267)</f>
        <v/>
      </c>
      <c r="B268" s="9" t="str">
        <f>IF(ISBLANK(Output!B267),"",Output!B267)</f>
        <v/>
      </c>
      <c r="C268" s="9" t="str">
        <f>IF(ISNUMBER(Output!C267),IF(Output!C267&gt;=12,IFERROR(ROUND(INT(Output!C267)/12,0)&amp;"'-"&amp;INT(ROUND((Output!C267/12-INT(Output!C267/12))*12,2))&amp;" "&amp;IF(MROUND(ROUND((Output!C267/12-INT(Output!C267/12))*12,3)-INT(ROUND((Output!C267/12-INT(Output!C267/12))*12,3)),1/8)=0,"",VLOOKUP(MROUND((Output!C267/12-INT(Output!C267/12))*12-INT((Output!C267/12-INT(Output!C267/12))*12),1/8),fract[],2,FALSE))&amp;"''",""),IFERROR(INT(Output!C267)&amp;" "&amp;IF(MROUND((Output!C267-INT(Output!C267)),1/8)=0,"",VLOOKUP(MROUND((Output!C267-INT(Output!C267)),1/8),fract[],2,FALSE))&amp;"''","")),"")</f>
        <v/>
      </c>
      <c r="D268" s="9" t="str">
        <f>IF(ISNUMBER(Output!D267),IFERROR(ROUND(INT(Output!D267/12),3)&amp;"'-"&amp;INT(ROUND((Output!D267/12-INT(Output!D267/12))*12,3))&amp;" "&amp;IF(MROUND(ROUND((Output!D267/12-INT(Output!D267/12))*12,3)-INT(ROUND((Output!D267/12-INT(Output!D267/12))*12,3)),1/8)=0,"",VLOOKUP(MROUND((Output!D267/12-INT(Output!D267/12))*12-INT((Output!D267/12-INT(Output!D267/12))*12),1/8),fract[],2,FALSE))&amp;"''",""),"")</f>
        <v/>
      </c>
      <c r="E268" s="9" t="str">
        <f>IF(ISNUMBER(Output!E267),IF(Output!E267&gt;=12,IFERROR(ROUND(INT(Output!E267)/12,0)&amp;"'-"&amp;INT(ROUND((Output!E267/12-INT(Output!E267/12))*12,2))&amp;" "&amp;IF(MROUND(ROUND((Output!E267/12-INT(Output!E267/12))*12,3)-INT(ROUND((Output!E267/12-INT(Output!E267/12))*12,3)),1/8)=0,"",VLOOKUP(MROUND((Output!E267/12-INT(Output!E267/12))*12-INT((Output!E267/12-INT(Output!E267/12))*12),1/8),fract[],2,FALSE))&amp;"''",""),IFERROR(INT(Output!E267)&amp;" "&amp;IF(MROUND((Output!E267-INT(Output!E267)),1/8)=0,"",VLOOKUP(MROUND((Output!E267-INT(Output!E267)),1/8),fract[],2,FALSE))&amp;"''","")),"")</f>
        <v/>
      </c>
      <c r="F268" s="8"/>
      <c r="G268" s="8"/>
      <c r="H268" s="9" t="str">
        <f t="shared" si="8"/>
        <v/>
      </c>
      <c r="I268" s="9" t="str">
        <f t="shared" si="9"/>
        <v/>
      </c>
      <c r="J268" s="12" t="str">
        <f>IF(ISNUMBER(Output!F267),Output!F267,"")</f>
        <v/>
      </c>
      <c r="K268" s="12" t="str">
        <f>IF(ISNUMBER(Output!G267),Output!G267,"")</f>
        <v/>
      </c>
    </row>
    <row r="269" spans="1:11" x14ac:dyDescent="0.25">
      <c r="A269" s="9" t="str">
        <f>IF(ISBLANK(Output!A268),"",Output!A268)</f>
        <v/>
      </c>
      <c r="B269" s="9" t="str">
        <f>IF(ISBLANK(Output!B268),"",Output!B268)</f>
        <v/>
      </c>
      <c r="C269" s="9" t="str">
        <f>IF(ISNUMBER(Output!C268),IF(Output!C268&gt;=12,IFERROR(ROUND(INT(Output!C268)/12,0)&amp;"'-"&amp;INT(ROUND((Output!C268/12-INT(Output!C268/12))*12,2))&amp;" "&amp;IF(MROUND(ROUND((Output!C268/12-INT(Output!C268/12))*12,3)-INT(ROUND((Output!C268/12-INT(Output!C268/12))*12,3)),1/8)=0,"",VLOOKUP(MROUND((Output!C268/12-INT(Output!C268/12))*12-INT((Output!C268/12-INT(Output!C268/12))*12),1/8),fract[],2,FALSE))&amp;"''",""),IFERROR(INT(Output!C268)&amp;" "&amp;IF(MROUND((Output!C268-INT(Output!C268)),1/8)=0,"",VLOOKUP(MROUND((Output!C268-INT(Output!C268)),1/8),fract[],2,FALSE))&amp;"''","")),"")</f>
        <v/>
      </c>
      <c r="D269" s="9" t="str">
        <f>IF(ISNUMBER(Output!D268),IFERROR(ROUND(INT(Output!D268/12),3)&amp;"'-"&amp;INT(ROUND((Output!D268/12-INT(Output!D268/12))*12,3))&amp;" "&amp;IF(MROUND(ROUND((Output!D268/12-INT(Output!D268/12))*12,3)-INT(ROUND((Output!D268/12-INT(Output!D268/12))*12,3)),1/8)=0,"",VLOOKUP(MROUND((Output!D268/12-INT(Output!D268/12))*12-INT((Output!D268/12-INT(Output!D268/12))*12),1/8),fract[],2,FALSE))&amp;"''",""),"")</f>
        <v/>
      </c>
      <c r="E269" s="9" t="str">
        <f>IF(ISNUMBER(Output!E268),IF(Output!E268&gt;=12,IFERROR(ROUND(INT(Output!E268)/12,0)&amp;"'-"&amp;INT(ROUND((Output!E268/12-INT(Output!E268/12))*12,2))&amp;" "&amp;IF(MROUND(ROUND((Output!E268/12-INT(Output!E268/12))*12,3)-INT(ROUND((Output!E268/12-INT(Output!E268/12))*12,3)),1/8)=0,"",VLOOKUP(MROUND((Output!E268/12-INT(Output!E268/12))*12-INT((Output!E268/12-INT(Output!E268/12))*12),1/8),fract[],2,FALSE))&amp;"''",""),IFERROR(INT(Output!E268)&amp;" "&amp;IF(MROUND((Output!E268-INT(Output!E268)),1/8)=0,"",VLOOKUP(MROUND((Output!E268-INT(Output!E268)),1/8),fract[],2,FALSE))&amp;"''","")),"")</f>
        <v/>
      </c>
      <c r="F269" s="8"/>
      <c r="G269" s="8"/>
      <c r="H269" s="9" t="str">
        <f t="shared" si="8"/>
        <v/>
      </c>
      <c r="I269" s="9" t="str">
        <f t="shared" si="9"/>
        <v/>
      </c>
      <c r="J269" s="12" t="str">
        <f>IF(ISNUMBER(Output!F268),Output!F268,"")</f>
        <v/>
      </c>
      <c r="K269" s="12" t="str">
        <f>IF(ISNUMBER(Output!G268),Output!G268,"")</f>
        <v/>
      </c>
    </row>
    <row r="270" spans="1:11" x14ac:dyDescent="0.25">
      <c r="A270" s="9" t="str">
        <f>IF(ISBLANK(Output!A269),"",Output!A269)</f>
        <v/>
      </c>
      <c r="B270" s="9" t="str">
        <f>IF(ISBLANK(Output!B269),"",Output!B269)</f>
        <v/>
      </c>
      <c r="C270" s="9" t="str">
        <f>IF(ISNUMBER(Output!C269),IF(Output!C269&gt;=12,IFERROR(ROUND(INT(Output!C269)/12,0)&amp;"'-"&amp;INT(ROUND((Output!C269/12-INT(Output!C269/12))*12,2))&amp;" "&amp;IF(MROUND(ROUND((Output!C269/12-INT(Output!C269/12))*12,3)-INT(ROUND((Output!C269/12-INT(Output!C269/12))*12,3)),1/8)=0,"",VLOOKUP(MROUND((Output!C269/12-INT(Output!C269/12))*12-INT((Output!C269/12-INT(Output!C269/12))*12),1/8),fract[],2,FALSE))&amp;"''",""),IFERROR(INT(Output!C269)&amp;" "&amp;IF(MROUND((Output!C269-INT(Output!C269)),1/8)=0,"",VLOOKUP(MROUND((Output!C269-INT(Output!C269)),1/8),fract[],2,FALSE))&amp;"''","")),"")</f>
        <v/>
      </c>
      <c r="D270" s="9" t="str">
        <f>IF(ISNUMBER(Output!D269),IFERROR(ROUND(INT(Output!D269/12),3)&amp;"'-"&amp;INT(ROUND((Output!D269/12-INT(Output!D269/12))*12,3))&amp;" "&amp;IF(MROUND(ROUND((Output!D269/12-INT(Output!D269/12))*12,3)-INT(ROUND((Output!D269/12-INT(Output!D269/12))*12,3)),1/8)=0,"",VLOOKUP(MROUND((Output!D269/12-INT(Output!D269/12))*12-INT((Output!D269/12-INT(Output!D269/12))*12),1/8),fract[],2,FALSE))&amp;"''",""),"")</f>
        <v/>
      </c>
      <c r="E270" s="9" t="str">
        <f>IF(ISNUMBER(Output!E269),IF(Output!E269&gt;=12,IFERROR(ROUND(INT(Output!E269)/12,0)&amp;"'-"&amp;INT(ROUND((Output!E269/12-INT(Output!E269/12))*12,2))&amp;" "&amp;IF(MROUND(ROUND((Output!E269/12-INT(Output!E269/12))*12,3)-INT(ROUND((Output!E269/12-INT(Output!E269/12))*12,3)),1/8)=0,"",VLOOKUP(MROUND((Output!E269/12-INT(Output!E269/12))*12-INT((Output!E269/12-INT(Output!E269/12))*12),1/8),fract[],2,FALSE))&amp;"''",""),IFERROR(INT(Output!E269)&amp;" "&amp;IF(MROUND((Output!E269-INT(Output!E269)),1/8)=0,"",VLOOKUP(MROUND((Output!E269-INT(Output!E269)),1/8),fract[],2,FALSE))&amp;"''","")),"")</f>
        <v/>
      </c>
      <c r="F270" s="8"/>
      <c r="G270" s="8"/>
      <c r="H270" s="9" t="str">
        <f t="shared" si="8"/>
        <v/>
      </c>
      <c r="I270" s="9" t="str">
        <f t="shared" si="9"/>
        <v/>
      </c>
      <c r="J270" s="12" t="str">
        <f>IF(ISNUMBER(Output!F269),Output!F269,"")</f>
        <v/>
      </c>
      <c r="K270" s="12" t="str">
        <f>IF(ISNUMBER(Output!G269),Output!G269,"")</f>
        <v/>
      </c>
    </row>
    <row r="271" spans="1:11" x14ac:dyDescent="0.25">
      <c r="A271" s="9" t="str">
        <f>IF(ISBLANK(Output!A270),"",Output!A270)</f>
        <v/>
      </c>
      <c r="B271" s="9" t="str">
        <f>IF(ISBLANK(Output!B270),"",Output!B270)</f>
        <v/>
      </c>
      <c r="C271" s="9" t="str">
        <f>IF(ISNUMBER(Output!C270),IF(Output!C270&gt;=12,IFERROR(ROUND(INT(Output!C270)/12,0)&amp;"'-"&amp;INT(ROUND((Output!C270/12-INT(Output!C270/12))*12,2))&amp;" "&amp;IF(MROUND(ROUND((Output!C270/12-INT(Output!C270/12))*12,3)-INT(ROUND((Output!C270/12-INT(Output!C270/12))*12,3)),1/8)=0,"",VLOOKUP(MROUND((Output!C270/12-INT(Output!C270/12))*12-INT((Output!C270/12-INT(Output!C270/12))*12),1/8),fract[],2,FALSE))&amp;"''",""),IFERROR(INT(Output!C270)&amp;" "&amp;IF(MROUND((Output!C270-INT(Output!C270)),1/8)=0,"",VLOOKUP(MROUND((Output!C270-INT(Output!C270)),1/8),fract[],2,FALSE))&amp;"''","")),"")</f>
        <v/>
      </c>
      <c r="D271" s="9" t="str">
        <f>IF(ISNUMBER(Output!D270),IFERROR(ROUND(INT(Output!D270/12),3)&amp;"'-"&amp;INT(ROUND((Output!D270/12-INT(Output!D270/12))*12,3))&amp;" "&amp;IF(MROUND(ROUND((Output!D270/12-INT(Output!D270/12))*12,3)-INT(ROUND((Output!D270/12-INT(Output!D270/12))*12,3)),1/8)=0,"",VLOOKUP(MROUND((Output!D270/12-INT(Output!D270/12))*12-INT((Output!D270/12-INT(Output!D270/12))*12),1/8),fract[],2,FALSE))&amp;"''",""),"")</f>
        <v/>
      </c>
      <c r="E271" s="9" t="str">
        <f>IF(ISNUMBER(Output!E270),IF(Output!E270&gt;=12,IFERROR(ROUND(INT(Output!E270)/12,0)&amp;"'-"&amp;INT(ROUND((Output!E270/12-INT(Output!E270/12))*12,2))&amp;" "&amp;IF(MROUND(ROUND((Output!E270/12-INT(Output!E270/12))*12,3)-INT(ROUND((Output!E270/12-INT(Output!E270/12))*12,3)),1/8)=0,"",VLOOKUP(MROUND((Output!E270/12-INT(Output!E270/12))*12-INT((Output!E270/12-INT(Output!E270/12))*12),1/8),fract[],2,FALSE))&amp;"''",""),IFERROR(INT(Output!E270)&amp;" "&amp;IF(MROUND((Output!E270-INT(Output!E270)),1/8)=0,"",VLOOKUP(MROUND((Output!E270-INT(Output!E270)),1/8),fract[],2,FALSE))&amp;"''","")),"")</f>
        <v/>
      </c>
      <c r="F271" s="8"/>
      <c r="G271" s="8"/>
      <c r="H271" s="9" t="str">
        <f t="shared" si="8"/>
        <v/>
      </c>
      <c r="I271" s="9" t="str">
        <f t="shared" si="9"/>
        <v/>
      </c>
      <c r="J271" s="12" t="str">
        <f>IF(ISNUMBER(Output!F270),Output!F270,"")</f>
        <v/>
      </c>
      <c r="K271" s="12" t="str">
        <f>IF(ISNUMBER(Output!G270),Output!G270,"")</f>
        <v/>
      </c>
    </row>
    <row r="272" spans="1:11" x14ac:dyDescent="0.25">
      <c r="A272" s="9" t="str">
        <f>IF(ISBLANK(Output!A271),"",Output!A271)</f>
        <v/>
      </c>
      <c r="B272" s="9" t="str">
        <f>IF(ISBLANK(Output!B271),"",Output!B271)</f>
        <v/>
      </c>
      <c r="C272" s="9" t="str">
        <f>IF(ISNUMBER(Output!C271),IF(Output!C271&gt;=12,IFERROR(ROUND(INT(Output!C271)/12,0)&amp;"'-"&amp;INT(ROUND((Output!C271/12-INT(Output!C271/12))*12,2))&amp;" "&amp;IF(MROUND(ROUND((Output!C271/12-INT(Output!C271/12))*12,3)-INT(ROUND((Output!C271/12-INT(Output!C271/12))*12,3)),1/8)=0,"",VLOOKUP(MROUND((Output!C271/12-INT(Output!C271/12))*12-INT((Output!C271/12-INT(Output!C271/12))*12),1/8),fract[],2,FALSE))&amp;"''",""),IFERROR(INT(Output!C271)&amp;" "&amp;IF(MROUND((Output!C271-INT(Output!C271)),1/8)=0,"",VLOOKUP(MROUND((Output!C271-INT(Output!C271)),1/8),fract[],2,FALSE))&amp;"''","")),"")</f>
        <v/>
      </c>
      <c r="D272" s="9" t="str">
        <f>IF(ISNUMBER(Output!D271),IFERROR(ROUND(INT(Output!D271/12),3)&amp;"'-"&amp;INT(ROUND((Output!D271/12-INT(Output!D271/12))*12,3))&amp;" "&amp;IF(MROUND(ROUND((Output!D271/12-INT(Output!D271/12))*12,3)-INT(ROUND((Output!D271/12-INT(Output!D271/12))*12,3)),1/8)=0,"",VLOOKUP(MROUND((Output!D271/12-INT(Output!D271/12))*12-INT((Output!D271/12-INT(Output!D271/12))*12),1/8),fract[],2,FALSE))&amp;"''",""),"")</f>
        <v/>
      </c>
      <c r="E272" s="9" t="str">
        <f>IF(ISNUMBER(Output!E271),IF(Output!E271&gt;=12,IFERROR(ROUND(INT(Output!E271)/12,0)&amp;"'-"&amp;INT(ROUND((Output!E271/12-INT(Output!E271/12))*12,2))&amp;" "&amp;IF(MROUND(ROUND((Output!E271/12-INT(Output!E271/12))*12,3)-INT(ROUND((Output!E271/12-INT(Output!E271/12))*12,3)),1/8)=0,"",VLOOKUP(MROUND((Output!E271/12-INT(Output!E271/12))*12-INT((Output!E271/12-INT(Output!E271/12))*12),1/8),fract[],2,FALSE))&amp;"''",""),IFERROR(INT(Output!E271)&amp;" "&amp;IF(MROUND((Output!E271-INT(Output!E271)),1/8)=0,"",VLOOKUP(MROUND((Output!E271-INT(Output!E271)),1/8),fract[],2,FALSE))&amp;"''","")),"")</f>
        <v/>
      </c>
      <c r="F272" s="8"/>
      <c r="G272" s="8"/>
      <c r="H272" s="9" t="str">
        <f t="shared" si="8"/>
        <v/>
      </c>
      <c r="I272" s="9" t="str">
        <f t="shared" si="9"/>
        <v/>
      </c>
      <c r="J272" s="12" t="str">
        <f>IF(ISNUMBER(Output!F271),Output!F271,"")</f>
        <v/>
      </c>
      <c r="K272" s="12" t="str">
        <f>IF(ISNUMBER(Output!G271),Output!G271,"")</f>
        <v/>
      </c>
    </row>
    <row r="273" spans="1:11" x14ac:dyDescent="0.25">
      <c r="A273" s="9" t="str">
        <f>IF(ISBLANK(Output!A272),"",Output!A272)</f>
        <v/>
      </c>
      <c r="B273" s="9" t="str">
        <f>IF(ISBLANK(Output!B272),"",Output!B272)</f>
        <v/>
      </c>
      <c r="C273" s="9" t="str">
        <f>IF(ISNUMBER(Output!C272),IF(Output!C272&gt;=12,IFERROR(ROUND(INT(Output!C272)/12,0)&amp;"'-"&amp;INT(ROUND((Output!C272/12-INT(Output!C272/12))*12,2))&amp;" "&amp;IF(MROUND(ROUND((Output!C272/12-INT(Output!C272/12))*12,3)-INT(ROUND((Output!C272/12-INT(Output!C272/12))*12,3)),1/8)=0,"",VLOOKUP(MROUND((Output!C272/12-INT(Output!C272/12))*12-INT((Output!C272/12-INT(Output!C272/12))*12),1/8),fract[],2,FALSE))&amp;"''",""),IFERROR(INT(Output!C272)&amp;" "&amp;IF(MROUND((Output!C272-INT(Output!C272)),1/8)=0,"",VLOOKUP(MROUND((Output!C272-INT(Output!C272)),1/8),fract[],2,FALSE))&amp;"''","")),"")</f>
        <v/>
      </c>
      <c r="D273" s="9" t="str">
        <f>IF(ISNUMBER(Output!D272),IFERROR(ROUND(INT(Output!D272/12),3)&amp;"'-"&amp;INT(ROUND((Output!D272/12-INT(Output!D272/12))*12,3))&amp;" "&amp;IF(MROUND(ROUND((Output!D272/12-INT(Output!D272/12))*12,3)-INT(ROUND((Output!D272/12-INT(Output!D272/12))*12,3)),1/8)=0,"",VLOOKUP(MROUND((Output!D272/12-INT(Output!D272/12))*12-INT((Output!D272/12-INT(Output!D272/12))*12),1/8),fract[],2,FALSE))&amp;"''",""),"")</f>
        <v/>
      </c>
      <c r="E273" s="9" t="str">
        <f>IF(ISNUMBER(Output!E272),IF(Output!E272&gt;=12,IFERROR(ROUND(INT(Output!E272)/12,0)&amp;"'-"&amp;INT(ROUND((Output!E272/12-INT(Output!E272/12))*12,2))&amp;" "&amp;IF(MROUND(ROUND((Output!E272/12-INT(Output!E272/12))*12,3)-INT(ROUND((Output!E272/12-INT(Output!E272/12))*12,3)),1/8)=0,"",VLOOKUP(MROUND((Output!E272/12-INT(Output!E272/12))*12-INT((Output!E272/12-INT(Output!E272/12))*12),1/8),fract[],2,FALSE))&amp;"''",""),IFERROR(INT(Output!E272)&amp;" "&amp;IF(MROUND((Output!E272-INT(Output!E272)),1/8)=0,"",VLOOKUP(MROUND((Output!E272-INT(Output!E272)),1/8),fract[],2,FALSE))&amp;"''","")),"")</f>
        <v/>
      </c>
      <c r="F273" s="8"/>
      <c r="G273" s="8"/>
      <c r="H273" s="9" t="str">
        <f t="shared" si="8"/>
        <v/>
      </c>
      <c r="I273" s="9" t="str">
        <f t="shared" si="9"/>
        <v/>
      </c>
      <c r="J273" s="12" t="str">
        <f>IF(ISNUMBER(Output!F272),Output!F272,"")</f>
        <v/>
      </c>
      <c r="K273" s="12" t="str">
        <f>IF(ISNUMBER(Output!G272),Output!G272,"")</f>
        <v/>
      </c>
    </row>
    <row r="274" spans="1:11" x14ac:dyDescent="0.25">
      <c r="A274" s="9" t="str">
        <f>IF(ISBLANK(Output!A273),"",Output!A273)</f>
        <v/>
      </c>
      <c r="B274" s="9" t="str">
        <f>IF(ISBLANK(Output!B273),"",Output!B273)</f>
        <v/>
      </c>
      <c r="C274" s="9" t="str">
        <f>IF(ISNUMBER(Output!C273),IF(Output!C273&gt;=12,IFERROR(ROUND(INT(Output!C273)/12,0)&amp;"'-"&amp;INT(ROUND((Output!C273/12-INT(Output!C273/12))*12,2))&amp;" "&amp;IF(MROUND(ROUND((Output!C273/12-INT(Output!C273/12))*12,3)-INT(ROUND((Output!C273/12-INT(Output!C273/12))*12,3)),1/8)=0,"",VLOOKUP(MROUND((Output!C273/12-INT(Output!C273/12))*12-INT((Output!C273/12-INT(Output!C273/12))*12),1/8),fract[],2,FALSE))&amp;"''",""),IFERROR(INT(Output!C273)&amp;" "&amp;IF(MROUND((Output!C273-INT(Output!C273)),1/8)=0,"",VLOOKUP(MROUND((Output!C273-INT(Output!C273)),1/8),fract[],2,FALSE))&amp;"''","")),"")</f>
        <v/>
      </c>
      <c r="D274" s="9" t="str">
        <f>IF(ISNUMBER(Output!D273),IFERROR(ROUND(INT(Output!D273/12),3)&amp;"'-"&amp;INT(ROUND((Output!D273/12-INT(Output!D273/12))*12,3))&amp;" "&amp;IF(MROUND(ROUND((Output!D273/12-INT(Output!D273/12))*12,3)-INT(ROUND((Output!D273/12-INT(Output!D273/12))*12,3)),1/8)=0,"",VLOOKUP(MROUND((Output!D273/12-INT(Output!D273/12))*12-INT((Output!D273/12-INT(Output!D273/12))*12),1/8),fract[],2,FALSE))&amp;"''",""),"")</f>
        <v/>
      </c>
      <c r="E274" s="9" t="str">
        <f>IF(ISNUMBER(Output!E273),IF(Output!E273&gt;=12,IFERROR(ROUND(INT(Output!E273)/12,0)&amp;"'-"&amp;INT(ROUND((Output!E273/12-INT(Output!E273/12))*12,2))&amp;" "&amp;IF(MROUND(ROUND((Output!E273/12-INT(Output!E273/12))*12,3)-INT(ROUND((Output!E273/12-INT(Output!E273/12))*12,3)),1/8)=0,"",VLOOKUP(MROUND((Output!E273/12-INT(Output!E273/12))*12-INT((Output!E273/12-INT(Output!E273/12))*12),1/8),fract[],2,FALSE))&amp;"''",""),IFERROR(INT(Output!E273)&amp;" "&amp;IF(MROUND((Output!E273-INT(Output!E273)),1/8)=0,"",VLOOKUP(MROUND((Output!E273-INT(Output!E273)),1/8),fract[],2,FALSE))&amp;"''","")),"")</f>
        <v/>
      </c>
      <c r="F274" s="8"/>
      <c r="G274" s="8"/>
      <c r="H274" s="9" t="str">
        <f t="shared" si="8"/>
        <v/>
      </c>
      <c r="I274" s="9" t="str">
        <f t="shared" si="9"/>
        <v/>
      </c>
      <c r="J274" s="12" t="str">
        <f>IF(ISNUMBER(Output!F273),Output!F273,"")</f>
        <v/>
      </c>
      <c r="K274" s="12" t="str">
        <f>IF(ISNUMBER(Output!G273),Output!G273,"")</f>
        <v/>
      </c>
    </row>
    <row r="275" spans="1:11" x14ac:dyDescent="0.25">
      <c r="A275" s="9" t="str">
        <f>IF(ISBLANK(Output!A274),"",Output!A274)</f>
        <v/>
      </c>
      <c r="B275" s="9" t="str">
        <f>IF(ISBLANK(Output!B274),"",Output!B274)</f>
        <v/>
      </c>
      <c r="C275" s="9" t="str">
        <f>IF(ISNUMBER(Output!C274),IF(Output!C274&gt;=12,IFERROR(ROUND(INT(Output!C274)/12,0)&amp;"'-"&amp;INT(ROUND((Output!C274/12-INT(Output!C274/12))*12,2))&amp;" "&amp;IF(MROUND(ROUND((Output!C274/12-INT(Output!C274/12))*12,3)-INT(ROUND((Output!C274/12-INT(Output!C274/12))*12,3)),1/8)=0,"",VLOOKUP(MROUND((Output!C274/12-INT(Output!C274/12))*12-INT((Output!C274/12-INT(Output!C274/12))*12),1/8),fract[],2,FALSE))&amp;"''",""),IFERROR(INT(Output!C274)&amp;" "&amp;IF(MROUND((Output!C274-INT(Output!C274)),1/8)=0,"",VLOOKUP(MROUND((Output!C274-INT(Output!C274)),1/8),fract[],2,FALSE))&amp;"''","")),"")</f>
        <v/>
      </c>
      <c r="D275" s="9" t="str">
        <f>IF(ISNUMBER(Output!D274),IFERROR(ROUND(INT(Output!D274/12),3)&amp;"'-"&amp;INT(ROUND((Output!D274/12-INT(Output!D274/12))*12,3))&amp;" "&amp;IF(MROUND(ROUND((Output!D274/12-INT(Output!D274/12))*12,3)-INT(ROUND((Output!D274/12-INT(Output!D274/12))*12,3)),1/8)=0,"",VLOOKUP(MROUND((Output!D274/12-INT(Output!D274/12))*12-INT((Output!D274/12-INT(Output!D274/12))*12),1/8),fract[],2,FALSE))&amp;"''",""),"")</f>
        <v/>
      </c>
      <c r="E275" s="9" t="str">
        <f>IF(ISNUMBER(Output!E274),IF(Output!E274&gt;=12,IFERROR(ROUND(INT(Output!E274)/12,0)&amp;"'-"&amp;INT(ROUND((Output!E274/12-INT(Output!E274/12))*12,2))&amp;" "&amp;IF(MROUND(ROUND((Output!E274/12-INT(Output!E274/12))*12,3)-INT(ROUND((Output!E274/12-INT(Output!E274/12))*12,3)),1/8)=0,"",VLOOKUP(MROUND((Output!E274/12-INT(Output!E274/12))*12-INT((Output!E274/12-INT(Output!E274/12))*12),1/8),fract[],2,FALSE))&amp;"''",""),IFERROR(INT(Output!E274)&amp;" "&amp;IF(MROUND((Output!E274-INT(Output!E274)),1/8)=0,"",VLOOKUP(MROUND((Output!E274-INT(Output!E274)),1/8),fract[],2,FALSE))&amp;"''","")),"")</f>
        <v/>
      </c>
      <c r="F275" s="8"/>
      <c r="G275" s="8"/>
      <c r="H275" s="9" t="str">
        <f t="shared" si="8"/>
        <v/>
      </c>
      <c r="I275" s="9" t="str">
        <f t="shared" si="9"/>
        <v/>
      </c>
      <c r="J275" s="12" t="str">
        <f>IF(ISNUMBER(Output!F274),Output!F274,"")</f>
        <v/>
      </c>
      <c r="K275" s="12" t="str">
        <f>IF(ISNUMBER(Output!G274),Output!G274,"")</f>
        <v/>
      </c>
    </row>
    <row r="276" spans="1:11" x14ac:dyDescent="0.25">
      <c r="A276" s="9" t="str">
        <f>IF(ISBLANK(Output!A275),"",Output!A275)</f>
        <v/>
      </c>
      <c r="B276" s="9" t="str">
        <f>IF(ISBLANK(Output!B275),"",Output!B275)</f>
        <v/>
      </c>
      <c r="C276" s="9" t="str">
        <f>IF(ISNUMBER(Output!C275),IF(Output!C275&gt;=12,IFERROR(ROUND(INT(Output!C275)/12,0)&amp;"'-"&amp;INT(ROUND((Output!C275/12-INT(Output!C275/12))*12,2))&amp;" "&amp;IF(MROUND(ROUND((Output!C275/12-INT(Output!C275/12))*12,3)-INT(ROUND((Output!C275/12-INT(Output!C275/12))*12,3)),1/8)=0,"",VLOOKUP(MROUND((Output!C275/12-INT(Output!C275/12))*12-INT((Output!C275/12-INT(Output!C275/12))*12),1/8),fract[],2,FALSE))&amp;"''",""),IFERROR(INT(Output!C275)&amp;" "&amp;IF(MROUND((Output!C275-INT(Output!C275)),1/8)=0,"",VLOOKUP(MROUND((Output!C275-INT(Output!C275)),1/8),fract[],2,FALSE))&amp;"''","")),"")</f>
        <v/>
      </c>
      <c r="D276" s="9" t="str">
        <f>IF(ISNUMBER(Output!D275),IFERROR(ROUND(INT(Output!D275/12),3)&amp;"'-"&amp;INT(ROUND((Output!D275/12-INT(Output!D275/12))*12,3))&amp;" "&amp;IF(MROUND(ROUND((Output!D275/12-INT(Output!D275/12))*12,3)-INT(ROUND((Output!D275/12-INT(Output!D275/12))*12,3)),1/8)=0,"",VLOOKUP(MROUND((Output!D275/12-INT(Output!D275/12))*12-INT((Output!D275/12-INT(Output!D275/12))*12),1/8),fract[],2,FALSE))&amp;"''",""),"")</f>
        <v/>
      </c>
      <c r="E276" s="9" t="str">
        <f>IF(ISNUMBER(Output!E275),IF(Output!E275&gt;=12,IFERROR(ROUND(INT(Output!E275)/12,0)&amp;"'-"&amp;INT(ROUND((Output!E275/12-INT(Output!E275/12))*12,2))&amp;" "&amp;IF(MROUND(ROUND((Output!E275/12-INT(Output!E275/12))*12,3)-INT(ROUND((Output!E275/12-INT(Output!E275/12))*12,3)),1/8)=0,"",VLOOKUP(MROUND((Output!E275/12-INT(Output!E275/12))*12-INT((Output!E275/12-INT(Output!E275/12))*12),1/8),fract[],2,FALSE))&amp;"''",""),IFERROR(INT(Output!E275)&amp;" "&amp;IF(MROUND((Output!E275-INT(Output!E275)),1/8)=0,"",VLOOKUP(MROUND((Output!E275-INT(Output!E275)),1/8),fract[],2,FALSE))&amp;"''","")),"")</f>
        <v/>
      </c>
      <c r="F276" s="8"/>
      <c r="G276" s="8"/>
      <c r="H276" s="9" t="str">
        <f t="shared" si="8"/>
        <v/>
      </c>
      <c r="I276" s="9" t="str">
        <f t="shared" si="9"/>
        <v/>
      </c>
      <c r="J276" s="12" t="str">
        <f>IF(ISNUMBER(Output!F275),Output!F275,"")</f>
        <v/>
      </c>
      <c r="K276" s="12" t="str">
        <f>IF(ISNUMBER(Output!G275),Output!G275,"")</f>
        <v/>
      </c>
    </row>
    <row r="277" spans="1:11" x14ac:dyDescent="0.25">
      <c r="A277" s="9" t="str">
        <f>IF(ISBLANK(Output!A276),"",Output!A276)</f>
        <v/>
      </c>
      <c r="B277" s="9" t="str">
        <f>IF(ISBLANK(Output!B276),"",Output!B276)</f>
        <v/>
      </c>
      <c r="C277" s="9" t="str">
        <f>IF(ISNUMBER(Output!C276),IF(Output!C276&gt;=12,IFERROR(ROUND(INT(Output!C276)/12,0)&amp;"'-"&amp;INT(ROUND((Output!C276/12-INT(Output!C276/12))*12,2))&amp;" "&amp;IF(MROUND(ROUND((Output!C276/12-INT(Output!C276/12))*12,3)-INT(ROUND((Output!C276/12-INT(Output!C276/12))*12,3)),1/8)=0,"",VLOOKUP(MROUND((Output!C276/12-INT(Output!C276/12))*12-INT((Output!C276/12-INT(Output!C276/12))*12),1/8),fract[],2,FALSE))&amp;"''",""),IFERROR(INT(Output!C276)&amp;" "&amp;IF(MROUND((Output!C276-INT(Output!C276)),1/8)=0,"",VLOOKUP(MROUND((Output!C276-INT(Output!C276)),1/8),fract[],2,FALSE))&amp;"''","")),"")</f>
        <v/>
      </c>
      <c r="D277" s="9" t="str">
        <f>IF(ISNUMBER(Output!D276),IFERROR(ROUND(INT(Output!D276/12),3)&amp;"'-"&amp;INT(ROUND((Output!D276/12-INT(Output!D276/12))*12,3))&amp;" "&amp;IF(MROUND(ROUND((Output!D276/12-INT(Output!D276/12))*12,3)-INT(ROUND((Output!D276/12-INT(Output!D276/12))*12,3)),1/8)=0,"",VLOOKUP(MROUND((Output!D276/12-INT(Output!D276/12))*12-INT((Output!D276/12-INT(Output!D276/12))*12),1/8),fract[],2,FALSE))&amp;"''",""),"")</f>
        <v/>
      </c>
      <c r="E277" s="9" t="str">
        <f>IF(ISNUMBER(Output!E276),IF(Output!E276&gt;=12,IFERROR(ROUND(INT(Output!E276)/12,0)&amp;"'-"&amp;INT(ROUND((Output!E276/12-INT(Output!E276/12))*12,2))&amp;" "&amp;IF(MROUND(ROUND((Output!E276/12-INT(Output!E276/12))*12,3)-INT(ROUND((Output!E276/12-INT(Output!E276/12))*12,3)),1/8)=0,"",VLOOKUP(MROUND((Output!E276/12-INT(Output!E276/12))*12-INT((Output!E276/12-INT(Output!E276/12))*12),1/8),fract[],2,FALSE))&amp;"''",""),IFERROR(INT(Output!E276)&amp;" "&amp;IF(MROUND((Output!E276-INT(Output!E276)),1/8)=0,"",VLOOKUP(MROUND((Output!E276-INT(Output!E276)),1/8),fract[],2,FALSE))&amp;"''","")),"")</f>
        <v/>
      </c>
      <c r="F277" s="8"/>
      <c r="G277" s="8"/>
      <c r="H277" s="9" t="str">
        <f t="shared" si="8"/>
        <v/>
      </c>
      <c r="I277" s="9" t="str">
        <f t="shared" si="9"/>
        <v/>
      </c>
      <c r="J277" s="12" t="str">
        <f>IF(ISNUMBER(Output!F276),Output!F276,"")</f>
        <v/>
      </c>
      <c r="K277" s="12" t="str">
        <f>IF(ISNUMBER(Output!G276),Output!G276,"")</f>
        <v/>
      </c>
    </row>
    <row r="278" spans="1:11" x14ac:dyDescent="0.25">
      <c r="A278" s="9" t="str">
        <f>IF(ISBLANK(Output!A277),"",Output!A277)</f>
        <v/>
      </c>
      <c r="B278" s="9" t="str">
        <f>IF(ISBLANK(Output!B277),"",Output!B277)</f>
        <v/>
      </c>
      <c r="C278" s="9" t="str">
        <f>IF(ISNUMBER(Output!C277),IF(Output!C277&gt;=12,IFERROR(ROUND(INT(Output!C277)/12,0)&amp;"'-"&amp;INT(ROUND((Output!C277/12-INT(Output!C277/12))*12,2))&amp;" "&amp;IF(MROUND(ROUND((Output!C277/12-INT(Output!C277/12))*12,3)-INT(ROUND((Output!C277/12-INT(Output!C277/12))*12,3)),1/8)=0,"",VLOOKUP(MROUND((Output!C277/12-INT(Output!C277/12))*12-INT((Output!C277/12-INT(Output!C277/12))*12),1/8),fract[],2,FALSE))&amp;"''",""),IFERROR(INT(Output!C277)&amp;" "&amp;IF(MROUND((Output!C277-INT(Output!C277)),1/8)=0,"",VLOOKUP(MROUND((Output!C277-INT(Output!C277)),1/8),fract[],2,FALSE))&amp;"''","")),"")</f>
        <v/>
      </c>
      <c r="D278" s="9" t="str">
        <f>IF(ISNUMBER(Output!D277),IFERROR(ROUND(INT(Output!D277/12),3)&amp;"'-"&amp;INT(ROUND((Output!D277/12-INT(Output!D277/12))*12,3))&amp;" "&amp;IF(MROUND(ROUND((Output!D277/12-INT(Output!D277/12))*12,3)-INT(ROUND((Output!D277/12-INT(Output!D277/12))*12,3)),1/8)=0,"",VLOOKUP(MROUND((Output!D277/12-INT(Output!D277/12))*12-INT((Output!D277/12-INT(Output!D277/12))*12),1/8),fract[],2,FALSE))&amp;"''",""),"")</f>
        <v/>
      </c>
      <c r="E278" s="9" t="str">
        <f>IF(ISNUMBER(Output!E277),IF(Output!E277&gt;=12,IFERROR(ROUND(INT(Output!E277)/12,0)&amp;"'-"&amp;INT(ROUND((Output!E277/12-INT(Output!E277/12))*12,2))&amp;" "&amp;IF(MROUND(ROUND((Output!E277/12-INT(Output!E277/12))*12,3)-INT(ROUND((Output!E277/12-INT(Output!E277/12))*12,3)),1/8)=0,"",VLOOKUP(MROUND((Output!E277/12-INT(Output!E277/12))*12-INT((Output!E277/12-INT(Output!E277/12))*12),1/8),fract[],2,FALSE))&amp;"''",""),IFERROR(INT(Output!E277)&amp;" "&amp;IF(MROUND((Output!E277-INT(Output!E277)),1/8)=0,"",VLOOKUP(MROUND((Output!E277-INT(Output!E277)),1/8),fract[],2,FALSE))&amp;"''","")),"")</f>
        <v/>
      </c>
      <c r="F278" s="8"/>
      <c r="G278" s="8"/>
      <c r="H278" s="9" t="str">
        <f t="shared" si="8"/>
        <v/>
      </c>
      <c r="I278" s="9" t="str">
        <f t="shared" si="9"/>
        <v/>
      </c>
      <c r="J278" s="12" t="str">
        <f>IF(ISNUMBER(Output!F277),Output!F277,"")</f>
        <v/>
      </c>
      <c r="K278" s="12" t="str">
        <f>IF(ISNUMBER(Output!G277),Output!G277,"")</f>
        <v/>
      </c>
    </row>
    <row r="279" spans="1:11" x14ac:dyDescent="0.25">
      <c r="A279" s="9" t="str">
        <f>IF(ISBLANK(Output!A278),"",Output!A278)</f>
        <v/>
      </c>
      <c r="B279" s="9" t="str">
        <f>IF(ISBLANK(Output!B278),"",Output!B278)</f>
        <v/>
      </c>
      <c r="C279" s="9" t="str">
        <f>IF(ISNUMBER(Output!C278),IF(Output!C278&gt;=12,IFERROR(ROUND(INT(Output!C278)/12,0)&amp;"'-"&amp;INT(ROUND((Output!C278/12-INT(Output!C278/12))*12,2))&amp;" "&amp;IF(MROUND(ROUND((Output!C278/12-INT(Output!C278/12))*12,3)-INT(ROUND((Output!C278/12-INT(Output!C278/12))*12,3)),1/8)=0,"",VLOOKUP(MROUND((Output!C278/12-INT(Output!C278/12))*12-INT((Output!C278/12-INT(Output!C278/12))*12),1/8),fract[],2,FALSE))&amp;"''",""),IFERROR(INT(Output!C278)&amp;" "&amp;IF(MROUND((Output!C278-INT(Output!C278)),1/8)=0,"",VLOOKUP(MROUND((Output!C278-INT(Output!C278)),1/8),fract[],2,FALSE))&amp;"''","")),"")</f>
        <v/>
      </c>
      <c r="D279" s="9" t="str">
        <f>IF(ISNUMBER(Output!D278),IFERROR(ROUND(INT(Output!D278/12),3)&amp;"'-"&amp;INT(ROUND((Output!D278/12-INT(Output!D278/12))*12,3))&amp;" "&amp;IF(MROUND(ROUND((Output!D278/12-INT(Output!D278/12))*12,3)-INT(ROUND((Output!D278/12-INT(Output!D278/12))*12,3)),1/8)=0,"",VLOOKUP(MROUND((Output!D278/12-INT(Output!D278/12))*12-INT((Output!D278/12-INT(Output!D278/12))*12),1/8),fract[],2,FALSE))&amp;"''",""),"")</f>
        <v/>
      </c>
      <c r="E279" s="9" t="str">
        <f>IF(ISNUMBER(Output!E278),IF(Output!E278&gt;=12,IFERROR(ROUND(INT(Output!E278)/12,0)&amp;"'-"&amp;INT(ROUND((Output!E278/12-INT(Output!E278/12))*12,2))&amp;" "&amp;IF(MROUND(ROUND((Output!E278/12-INT(Output!E278/12))*12,3)-INT(ROUND((Output!E278/12-INT(Output!E278/12))*12,3)),1/8)=0,"",VLOOKUP(MROUND((Output!E278/12-INT(Output!E278/12))*12-INT((Output!E278/12-INT(Output!E278/12))*12),1/8),fract[],2,FALSE))&amp;"''",""),IFERROR(INT(Output!E278)&amp;" "&amp;IF(MROUND((Output!E278-INT(Output!E278)),1/8)=0,"",VLOOKUP(MROUND((Output!E278-INT(Output!E278)),1/8),fract[],2,FALSE))&amp;"''","")),"")</f>
        <v/>
      </c>
      <c r="F279" s="8"/>
      <c r="G279" s="8"/>
      <c r="H279" s="9" t="str">
        <f t="shared" si="8"/>
        <v/>
      </c>
      <c r="I279" s="9" t="str">
        <f t="shared" si="9"/>
        <v/>
      </c>
      <c r="J279" s="12" t="str">
        <f>IF(ISNUMBER(Output!F278),Output!F278,"")</f>
        <v/>
      </c>
      <c r="K279" s="12" t="str">
        <f>IF(ISNUMBER(Output!G278),Output!G278,"")</f>
        <v/>
      </c>
    </row>
    <row r="280" spans="1:11" x14ac:dyDescent="0.25">
      <c r="A280" s="9" t="str">
        <f>IF(ISBLANK(Output!A279),"",Output!A279)</f>
        <v/>
      </c>
      <c r="B280" s="9" t="str">
        <f>IF(ISBLANK(Output!B279),"",Output!B279)</f>
        <v/>
      </c>
      <c r="C280" s="9" t="str">
        <f>IF(ISNUMBER(Output!C279),IF(Output!C279&gt;=12,IFERROR(ROUND(INT(Output!C279)/12,0)&amp;"'-"&amp;INT(ROUND((Output!C279/12-INT(Output!C279/12))*12,2))&amp;" "&amp;IF(MROUND(ROUND((Output!C279/12-INT(Output!C279/12))*12,3)-INT(ROUND((Output!C279/12-INT(Output!C279/12))*12,3)),1/8)=0,"",VLOOKUP(MROUND((Output!C279/12-INT(Output!C279/12))*12-INT((Output!C279/12-INT(Output!C279/12))*12),1/8),fract[],2,FALSE))&amp;"''",""),IFERROR(INT(Output!C279)&amp;" "&amp;IF(MROUND((Output!C279-INT(Output!C279)),1/8)=0,"",VLOOKUP(MROUND((Output!C279-INT(Output!C279)),1/8),fract[],2,FALSE))&amp;"''","")),"")</f>
        <v/>
      </c>
      <c r="D280" s="9" t="str">
        <f>IF(ISNUMBER(Output!D279),IFERROR(ROUND(INT(Output!D279/12),3)&amp;"'-"&amp;INT(ROUND((Output!D279/12-INT(Output!D279/12))*12,3))&amp;" "&amp;IF(MROUND(ROUND((Output!D279/12-INT(Output!D279/12))*12,3)-INT(ROUND((Output!D279/12-INT(Output!D279/12))*12,3)),1/8)=0,"",VLOOKUP(MROUND((Output!D279/12-INT(Output!D279/12))*12-INT((Output!D279/12-INT(Output!D279/12))*12),1/8),fract[],2,FALSE))&amp;"''",""),"")</f>
        <v/>
      </c>
      <c r="E280" s="9" t="str">
        <f>IF(ISNUMBER(Output!E279),IF(Output!E279&gt;=12,IFERROR(ROUND(INT(Output!E279)/12,0)&amp;"'-"&amp;INT(ROUND((Output!E279/12-INT(Output!E279/12))*12,2))&amp;" "&amp;IF(MROUND(ROUND((Output!E279/12-INT(Output!E279/12))*12,3)-INT(ROUND((Output!E279/12-INT(Output!E279/12))*12,3)),1/8)=0,"",VLOOKUP(MROUND((Output!E279/12-INT(Output!E279/12))*12-INT((Output!E279/12-INT(Output!E279/12))*12),1/8),fract[],2,FALSE))&amp;"''",""),IFERROR(INT(Output!E279)&amp;" "&amp;IF(MROUND((Output!E279-INT(Output!E279)),1/8)=0,"",VLOOKUP(MROUND((Output!E279-INT(Output!E279)),1/8),fract[],2,FALSE))&amp;"''","")),"")</f>
        <v/>
      </c>
      <c r="F280" s="8"/>
      <c r="G280" s="8"/>
      <c r="H280" s="9" t="str">
        <f t="shared" si="8"/>
        <v/>
      </c>
      <c r="I280" s="9" t="str">
        <f t="shared" si="9"/>
        <v/>
      </c>
      <c r="J280" s="12" t="str">
        <f>IF(ISNUMBER(Output!F279),Output!F279,"")</f>
        <v/>
      </c>
      <c r="K280" s="12" t="str">
        <f>IF(ISNUMBER(Output!G279),Output!G279,"")</f>
        <v/>
      </c>
    </row>
    <row r="281" spans="1:11" x14ac:dyDescent="0.25">
      <c r="A281" s="9" t="str">
        <f>IF(ISBLANK(Output!A280),"",Output!A280)</f>
        <v/>
      </c>
      <c r="B281" s="9" t="str">
        <f>IF(ISBLANK(Output!B280),"",Output!B280)</f>
        <v/>
      </c>
      <c r="C281" s="9" t="str">
        <f>IF(ISNUMBER(Output!C280),IF(Output!C280&gt;=12,IFERROR(ROUND(INT(Output!C280)/12,0)&amp;"'-"&amp;INT(ROUND((Output!C280/12-INT(Output!C280/12))*12,2))&amp;" "&amp;IF(MROUND(ROUND((Output!C280/12-INT(Output!C280/12))*12,3)-INT(ROUND((Output!C280/12-INT(Output!C280/12))*12,3)),1/8)=0,"",VLOOKUP(MROUND((Output!C280/12-INT(Output!C280/12))*12-INT((Output!C280/12-INT(Output!C280/12))*12),1/8),fract[],2,FALSE))&amp;"''",""),IFERROR(INT(Output!C280)&amp;" "&amp;IF(MROUND((Output!C280-INT(Output!C280)),1/8)=0,"",VLOOKUP(MROUND((Output!C280-INT(Output!C280)),1/8),fract[],2,FALSE))&amp;"''","")),"")</f>
        <v/>
      </c>
      <c r="D281" s="9" t="str">
        <f>IF(ISNUMBER(Output!D280),IFERROR(ROUND(INT(Output!D280/12),3)&amp;"'-"&amp;INT(ROUND((Output!D280/12-INT(Output!D280/12))*12,3))&amp;" "&amp;IF(MROUND(ROUND((Output!D280/12-INT(Output!D280/12))*12,3)-INT(ROUND((Output!D280/12-INT(Output!D280/12))*12,3)),1/8)=0,"",VLOOKUP(MROUND((Output!D280/12-INT(Output!D280/12))*12-INT((Output!D280/12-INT(Output!D280/12))*12),1/8),fract[],2,FALSE))&amp;"''",""),"")</f>
        <v/>
      </c>
      <c r="E281" s="9" t="str">
        <f>IF(ISNUMBER(Output!E280),IF(Output!E280&gt;=12,IFERROR(ROUND(INT(Output!E280)/12,0)&amp;"'-"&amp;INT(ROUND((Output!E280/12-INT(Output!E280/12))*12,2))&amp;" "&amp;IF(MROUND(ROUND((Output!E280/12-INT(Output!E280/12))*12,3)-INT(ROUND((Output!E280/12-INT(Output!E280/12))*12,3)),1/8)=0,"",VLOOKUP(MROUND((Output!E280/12-INT(Output!E280/12))*12-INT((Output!E280/12-INT(Output!E280/12))*12),1/8),fract[],2,FALSE))&amp;"''",""),IFERROR(INT(Output!E280)&amp;" "&amp;IF(MROUND((Output!E280-INT(Output!E280)),1/8)=0,"",VLOOKUP(MROUND((Output!E280-INT(Output!E280)),1/8),fract[],2,FALSE))&amp;"''","")),"")</f>
        <v/>
      </c>
      <c r="F281" s="8"/>
      <c r="G281" s="8"/>
      <c r="H281" s="9" t="str">
        <f t="shared" si="8"/>
        <v/>
      </c>
      <c r="I281" s="9" t="str">
        <f t="shared" si="9"/>
        <v/>
      </c>
      <c r="J281" s="12" t="str">
        <f>IF(ISNUMBER(Output!F280),Output!F280,"")</f>
        <v/>
      </c>
      <c r="K281" s="12" t="str">
        <f>IF(ISNUMBER(Output!G280),Output!G280,"")</f>
        <v/>
      </c>
    </row>
    <row r="282" spans="1:11" x14ac:dyDescent="0.25">
      <c r="A282" s="9" t="str">
        <f>IF(ISBLANK(Output!A281),"",Output!A281)</f>
        <v/>
      </c>
      <c r="B282" s="9" t="str">
        <f>IF(ISBLANK(Output!B281),"",Output!B281)</f>
        <v/>
      </c>
      <c r="C282" s="9" t="str">
        <f>IF(ISNUMBER(Output!C281),IF(Output!C281&gt;=12,IFERROR(ROUND(INT(Output!C281)/12,0)&amp;"'-"&amp;INT(ROUND((Output!C281/12-INT(Output!C281/12))*12,2))&amp;" "&amp;IF(MROUND(ROUND((Output!C281/12-INT(Output!C281/12))*12,3)-INT(ROUND((Output!C281/12-INT(Output!C281/12))*12,3)),1/8)=0,"",VLOOKUP(MROUND((Output!C281/12-INT(Output!C281/12))*12-INT((Output!C281/12-INT(Output!C281/12))*12),1/8),fract[],2,FALSE))&amp;"''",""),IFERROR(INT(Output!C281)&amp;" "&amp;IF(MROUND((Output!C281-INT(Output!C281)),1/8)=0,"",VLOOKUP(MROUND((Output!C281-INT(Output!C281)),1/8),fract[],2,FALSE))&amp;"''","")),"")</f>
        <v/>
      </c>
      <c r="D282" s="9" t="str">
        <f>IF(ISNUMBER(Output!D281),IFERROR(ROUND(INT(Output!D281/12),3)&amp;"'-"&amp;INT(ROUND((Output!D281/12-INT(Output!D281/12))*12,3))&amp;" "&amp;IF(MROUND(ROUND((Output!D281/12-INT(Output!D281/12))*12,3)-INT(ROUND((Output!D281/12-INT(Output!D281/12))*12,3)),1/8)=0,"",VLOOKUP(MROUND((Output!D281/12-INT(Output!D281/12))*12-INT((Output!D281/12-INT(Output!D281/12))*12),1/8),fract[],2,FALSE))&amp;"''",""),"")</f>
        <v/>
      </c>
      <c r="E282" s="9" t="str">
        <f>IF(ISNUMBER(Output!E281),IF(Output!E281&gt;=12,IFERROR(ROUND(INT(Output!E281)/12,0)&amp;"'-"&amp;INT(ROUND((Output!E281/12-INT(Output!E281/12))*12,2))&amp;" "&amp;IF(MROUND(ROUND((Output!E281/12-INT(Output!E281/12))*12,3)-INT(ROUND((Output!E281/12-INT(Output!E281/12))*12,3)),1/8)=0,"",VLOOKUP(MROUND((Output!E281/12-INT(Output!E281/12))*12-INT((Output!E281/12-INT(Output!E281/12))*12),1/8),fract[],2,FALSE))&amp;"''",""),IFERROR(INT(Output!E281)&amp;" "&amp;IF(MROUND((Output!E281-INT(Output!E281)),1/8)=0,"",VLOOKUP(MROUND((Output!E281-INT(Output!E281)),1/8),fract[],2,FALSE))&amp;"''","")),"")</f>
        <v/>
      </c>
      <c r="F282" s="8"/>
      <c r="G282" s="8"/>
      <c r="H282" s="9" t="str">
        <f t="shared" si="8"/>
        <v/>
      </c>
      <c r="I282" s="9" t="str">
        <f t="shared" si="9"/>
        <v/>
      </c>
      <c r="J282" s="12" t="str">
        <f>IF(ISNUMBER(Output!F281),Output!F281,"")</f>
        <v/>
      </c>
      <c r="K282" s="12" t="str">
        <f>IF(ISNUMBER(Output!G281),Output!G281,"")</f>
        <v/>
      </c>
    </row>
    <row r="283" spans="1:11" x14ac:dyDescent="0.25">
      <c r="A283" s="9" t="str">
        <f>IF(ISBLANK(Output!A282),"",Output!A282)</f>
        <v/>
      </c>
      <c r="B283" s="9" t="str">
        <f>IF(ISBLANK(Output!B282),"",Output!B282)</f>
        <v/>
      </c>
      <c r="C283" s="9" t="str">
        <f>IF(ISNUMBER(Output!C282),IF(Output!C282&gt;=12,IFERROR(ROUND(INT(Output!C282)/12,0)&amp;"'-"&amp;INT(ROUND((Output!C282/12-INT(Output!C282/12))*12,2))&amp;" "&amp;IF(MROUND(ROUND((Output!C282/12-INT(Output!C282/12))*12,3)-INT(ROUND((Output!C282/12-INT(Output!C282/12))*12,3)),1/8)=0,"",VLOOKUP(MROUND((Output!C282/12-INT(Output!C282/12))*12-INT((Output!C282/12-INT(Output!C282/12))*12),1/8),fract[],2,FALSE))&amp;"''",""),IFERROR(INT(Output!C282)&amp;" "&amp;IF(MROUND((Output!C282-INT(Output!C282)),1/8)=0,"",VLOOKUP(MROUND((Output!C282-INT(Output!C282)),1/8),fract[],2,FALSE))&amp;"''","")),"")</f>
        <v/>
      </c>
      <c r="D283" s="9" t="str">
        <f>IF(ISNUMBER(Output!D282),IFERROR(ROUND(INT(Output!D282/12),3)&amp;"'-"&amp;INT(ROUND((Output!D282/12-INT(Output!D282/12))*12,3))&amp;" "&amp;IF(MROUND(ROUND((Output!D282/12-INT(Output!D282/12))*12,3)-INT(ROUND((Output!D282/12-INT(Output!D282/12))*12,3)),1/8)=0,"",VLOOKUP(MROUND((Output!D282/12-INT(Output!D282/12))*12-INT((Output!D282/12-INT(Output!D282/12))*12),1/8),fract[],2,FALSE))&amp;"''",""),"")</f>
        <v/>
      </c>
      <c r="E283" s="9" t="str">
        <f>IF(ISNUMBER(Output!E282),IF(Output!E282&gt;=12,IFERROR(ROUND(INT(Output!E282)/12,0)&amp;"'-"&amp;INT(ROUND((Output!E282/12-INT(Output!E282/12))*12,2))&amp;" "&amp;IF(MROUND(ROUND((Output!E282/12-INT(Output!E282/12))*12,3)-INT(ROUND((Output!E282/12-INT(Output!E282/12))*12,3)),1/8)=0,"",VLOOKUP(MROUND((Output!E282/12-INT(Output!E282/12))*12-INT((Output!E282/12-INT(Output!E282/12))*12),1/8),fract[],2,FALSE))&amp;"''",""),IFERROR(INT(Output!E282)&amp;" "&amp;IF(MROUND((Output!E282-INT(Output!E282)),1/8)=0,"",VLOOKUP(MROUND((Output!E282-INT(Output!E282)),1/8),fract[],2,FALSE))&amp;"''","")),"")</f>
        <v/>
      </c>
      <c r="F283" s="8"/>
      <c r="G283" s="8"/>
      <c r="H283" s="9" t="str">
        <f t="shared" si="8"/>
        <v/>
      </c>
      <c r="I283" s="9" t="str">
        <f t="shared" si="9"/>
        <v/>
      </c>
      <c r="J283" s="12" t="str">
        <f>IF(ISNUMBER(Output!F282),Output!F282,"")</f>
        <v/>
      </c>
      <c r="K283" s="12" t="str">
        <f>IF(ISNUMBER(Output!G282),Output!G282,"")</f>
        <v/>
      </c>
    </row>
    <row r="284" spans="1:11" x14ac:dyDescent="0.25">
      <c r="A284" s="9" t="str">
        <f>IF(ISBLANK(Output!A283),"",Output!A283)</f>
        <v/>
      </c>
      <c r="B284" s="9" t="str">
        <f>IF(ISBLANK(Output!B283),"",Output!B283)</f>
        <v/>
      </c>
      <c r="C284" s="9" t="str">
        <f>IF(ISNUMBER(Output!C283),IF(Output!C283&gt;=12,IFERROR(ROUND(INT(Output!C283)/12,0)&amp;"'-"&amp;INT(ROUND((Output!C283/12-INT(Output!C283/12))*12,2))&amp;" "&amp;IF(MROUND(ROUND((Output!C283/12-INT(Output!C283/12))*12,3)-INT(ROUND((Output!C283/12-INT(Output!C283/12))*12,3)),1/8)=0,"",VLOOKUP(MROUND((Output!C283/12-INT(Output!C283/12))*12-INT((Output!C283/12-INT(Output!C283/12))*12),1/8),fract[],2,FALSE))&amp;"''",""),IFERROR(INT(Output!C283)&amp;" "&amp;IF(MROUND((Output!C283-INT(Output!C283)),1/8)=0,"",VLOOKUP(MROUND((Output!C283-INT(Output!C283)),1/8),fract[],2,FALSE))&amp;"''","")),"")</f>
        <v/>
      </c>
      <c r="D284" s="9" t="str">
        <f>IF(ISNUMBER(Output!D283),IFERROR(ROUND(INT(Output!D283/12),3)&amp;"'-"&amp;INT(ROUND((Output!D283/12-INT(Output!D283/12))*12,3))&amp;" "&amp;IF(MROUND(ROUND((Output!D283/12-INT(Output!D283/12))*12,3)-INT(ROUND((Output!D283/12-INT(Output!D283/12))*12,3)),1/8)=0,"",VLOOKUP(MROUND((Output!D283/12-INT(Output!D283/12))*12-INT((Output!D283/12-INT(Output!D283/12))*12),1/8),fract[],2,FALSE))&amp;"''",""),"")</f>
        <v/>
      </c>
      <c r="E284" s="9" t="str">
        <f>IF(ISNUMBER(Output!E283),IF(Output!E283&gt;=12,IFERROR(ROUND(INT(Output!E283)/12,0)&amp;"'-"&amp;INT(ROUND((Output!E283/12-INT(Output!E283/12))*12,2))&amp;" "&amp;IF(MROUND(ROUND((Output!E283/12-INT(Output!E283/12))*12,3)-INT(ROUND((Output!E283/12-INT(Output!E283/12))*12,3)),1/8)=0,"",VLOOKUP(MROUND((Output!E283/12-INT(Output!E283/12))*12-INT((Output!E283/12-INT(Output!E283/12))*12),1/8),fract[],2,FALSE))&amp;"''",""),IFERROR(INT(Output!E283)&amp;" "&amp;IF(MROUND((Output!E283-INT(Output!E283)),1/8)=0,"",VLOOKUP(MROUND((Output!E283-INT(Output!E283)),1/8),fract[],2,FALSE))&amp;"''","")),"")</f>
        <v/>
      </c>
      <c r="F284" s="8"/>
      <c r="G284" s="8"/>
      <c r="H284" s="9" t="str">
        <f t="shared" si="8"/>
        <v/>
      </c>
      <c r="I284" s="9" t="str">
        <f t="shared" si="9"/>
        <v/>
      </c>
      <c r="J284" s="12" t="str">
        <f>IF(ISNUMBER(Output!F283),Output!F283,"")</f>
        <v/>
      </c>
      <c r="K284" s="12" t="str">
        <f>IF(ISNUMBER(Output!G283),Output!G283,"")</f>
        <v/>
      </c>
    </row>
    <row r="285" spans="1:11" x14ac:dyDescent="0.25">
      <c r="A285" s="9" t="str">
        <f>IF(ISBLANK(Output!A284),"",Output!A284)</f>
        <v/>
      </c>
      <c r="B285" s="9" t="str">
        <f>IF(ISBLANK(Output!B284),"",Output!B284)</f>
        <v/>
      </c>
      <c r="C285" s="9" t="str">
        <f>IF(ISNUMBER(Output!C284),IF(Output!C284&gt;=12,IFERROR(ROUND(INT(Output!C284)/12,0)&amp;"'-"&amp;INT(ROUND((Output!C284/12-INT(Output!C284/12))*12,2))&amp;" "&amp;IF(MROUND(ROUND((Output!C284/12-INT(Output!C284/12))*12,3)-INT(ROUND((Output!C284/12-INT(Output!C284/12))*12,3)),1/8)=0,"",VLOOKUP(MROUND((Output!C284/12-INT(Output!C284/12))*12-INT((Output!C284/12-INT(Output!C284/12))*12),1/8),fract[],2,FALSE))&amp;"''",""),IFERROR(INT(Output!C284)&amp;" "&amp;IF(MROUND((Output!C284-INT(Output!C284)),1/8)=0,"",VLOOKUP(MROUND((Output!C284-INT(Output!C284)),1/8),fract[],2,FALSE))&amp;"''","")),"")</f>
        <v/>
      </c>
      <c r="D285" s="9" t="str">
        <f>IF(ISNUMBER(Output!D284),IFERROR(ROUND(INT(Output!D284/12),3)&amp;"'-"&amp;INT(ROUND((Output!D284/12-INT(Output!D284/12))*12,3))&amp;" "&amp;IF(MROUND(ROUND((Output!D284/12-INT(Output!D284/12))*12,3)-INT(ROUND((Output!D284/12-INT(Output!D284/12))*12,3)),1/8)=0,"",VLOOKUP(MROUND((Output!D284/12-INT(Output!D284/12))*12-INT((Output!D284/12-INT(Output!D284/12))*12),1/8),fract[],2,FALSE))&amp;"''",""),"")</f>
        <v/>
      </c>
      <c r="E285" s="9" t="str">
        <f>IF(ISNUMBER(Output!E284),IF(Output!E284&gt;=12,IFERROR(ROUND(INT(Output!E284)/12,0)&amp;"'-"&amp;INT(ROUND((Output!E284/12-INT(Output!E284/12))*12,2))&amp;" "&amp;IF(MROUND(ROUND((Output!E284/12-INT(Output!E284/12))*12,3)-INT(ROUND((Output!E284/12-INT(Output!E284/12))*12,3)),1/8)=0,"",VLOOKUP(MROUND((Output!E284/12-INT(Output!E284/12))*12-INT((Output!E284/12-INT(Output!E284/12))*12),1/8),fract[],2,FALSE))&amp;"''",""),IFERROR(INT(Output!E284)&amp;" "&amp;IF(MROUND((Output!E284-INT(Output!E284)),1/8)=0,"",VLOOKUP(MROUND((Output!E284-INT(Output!E284)),1/8),fract[],2,FALSE))&amp;"''","")),"")</f>
        <v/>
      </c>
      <c r="F285" s="8"/>
      <c r="G285" s="8"/>
      <c r="H285" s="9" t="str">
        <f t="shared" si="8"/>
        <v/>
      </c>
      <c r="I285" s="9" t="str">
        <f t="shared" si="9"/>
        <v/>
      </c>
      <c r="J285" s="12" t="str">
        <f>IF(ISNUMBER(Output!F284),Output!F284,"")</f>
        <v/>
      </c>
      <c r="K285" s="12" t="str">
        <f>IF(ISNUMBER(Output!G284),Output!G284,"")</f>
        <v/>
      </c>
    </row>
    <row r="286" spans="1:11" x14ac:dyDescent="0.25">
      <c r="A286" s="9" t="str">
        <f>IF(ISBLANK(Output!A285),"",Output!A285)</f>
        <v/>
      </c>
      <c r="B286" s="9" t="str">
        <f>IF(ISBLANK(Output!B285),"",Output!B285)</f>
        <v/>
      </c>
      <c r="C286" s="9" t="str">
        <f>IF(ISNUMBER(Output!C285),IF(Output!C285&gt;=12,IFERROR(ROUND(INT(Output!C285)/12,0)&amp;"'-"&amp;INT(ROUND((Output!C285/12-INT(Output!C285/12))*12,2))&amp;" "&amp;IF(MROUND(ROUND((Output!C285/12-INT(Output!C285/12))*12,3)-INT(ROUND((Output!C285/12-INT(Output!C285/12))*12,3)),1/8)=0,"",VLOOKUP(MROUND((Output!C285/12-INT(Output!C285/12))*12-INT((Output!C285/12-INT(Output!C285/12))*12),1/8),fract[],2,FALSE))&amp;"''",""),IFERROR(INT(Output!C285)&amp;" "&amp;IF(MROUND((Output!C285-INT(Output!C285)),1/8)=0,"",VLOOKUP(MROUND((Output!C285-INT(Output!C285)),1/8),fract[],2,FALSE))&amp;"''","")),"")</f>
        <v/>
      </c>
      <c r="D286" s="9" t="str">
        <f>IF(ISNUMBER(Output!D285),IFERROR(ROUND(INT(Output!D285/12),3)&amp;"'-"&amp;INT(ROUND((Output!D285/12-INT(Output!D285/12))*12,3))&amp;" "&amp;IF(MROUND(ROUND((Output!D285/12-INT(Output!D285/12))*12,3)-INT(ROUND((Output!D285/12-INT(Output!D285/12))*12,3)),1/8)=0,"",VLOOKUP(MROUND((Output!D285/12-INT(Output!D285/12))*12-INT((Output!D285/12-INT(Output!D285/12))*12),1/8),fract[],2,FALSE))&amp;"''",""),"")</f>
        <v/>
      </c>
      <c r="E286" s="9" t="str">
        <f>IF(ISNUMBER(Output!E285),IF(Output!E285&gt;=12,IFERROR(ROUND(INT(Output!E285)/12,0)&amp;"'-"&amp;INT(ROUND((Output!E285/12-INT(Output!E285/12))*12,2))&amp;" "&amp;IF(MROUND(ROUND((Output!E285/12-INT(Output!E285/12))*12,3)-INT(ROUND((Output!E285/12-INT(Output!E285/12))*12,3)),1/8)=0,"",VLOOKUP(MROUND((Output!E285/12-INT(Output!E285/12))*12-INT((Output!E285/12-INT(Output!E285/12))*12),1/8),fract[],2,FALSE))&amp;"''",""),IFERROR(INT(Output!E285)&amp;" "&amp;IF(MROUND((Output!E285-INT(Output!E285)),1/8)=0,"",VLOOKUP(MROUND((Output!E285-INT(Output!E285)),1/8),fract[],2,FALSE))&amp;"''","")),"")</f>
        <v/>
      </c>
      <c r="F286" s="8"/>
      <c r="G286" s="8"/>
      <c r="H286" s="9" t="str">
        <f t="shared" si="8"/>
        <v/>
      </c>
      <c r="I286" s="9" t="str">
        <f t="shared" si="9"/>
        <v/>
      </c>
      <c r="J286" s="12" t="str">
        <f>IF(ISNUMBER(Output!F285),Output!F285,"")</f>
        <v/>
      </c>
      <c r="K286" s="12" t="str">
        <f>IF(ISNUMBER(Output!G285),Output!G285,"")</f>
        <v/>
      </c>
    </row>
    <row r="287" spans="1:11" x14ac:dyDescent="0.25">
      <c r="A287" s="9" t="str">
        <f>IF(ISBLANK(Output!A286),"",Output!A286)</f>
        <v/>
      </c>
      <c r="B287" s="9" t="str">
        <f>IF(ISBLANK(Output!B286),"",Output!B286)</f>
        <v/>
      </c>
      <c r="C287" s="9" t="str">
        <f>IF(ISNUMBER(Output!C286),IF(Output!C286&gt;=12,IFERROR(ROUND(INT(Output!C286)/12,0)&amp;"'-"&amp;INT(ROUND((Output!C286/12-INT(Output!C286/12))*12,2))&amp;" "&amp;IF(MROUND(ROUND((Output!C286/12-INT(Output!C286/12))*12,3)-INT(ROUND((Output!C286/12-INT(Output!C286/12))*12,3)),1/8)=0,"",VLOOKUP(MROUND((Output!C286/12-INT(Output!C286/12))*12-INT((Output!C286/12-INT(Output!C286/12))*12),1/8),fract[],2,FALSE))&amp;"''",""),IFERROR(INT(Output!C286)&amp;" "&amp;IF(MROUND((Output!C286-INT(Output!C286)),1/8)=0,"",VLOOKUP(MROUND((Output!C286-INT(Output!C286)),1/8),fract[],2,FALSE))&amp;"''","")),"")</f>
        <v/>
      </c>
      <c r="D287" s="9" t="str">
        <f>IF(ISNUMBER(Output!D286),IFERROR(ROUND(INT(Output!D286/12),3)&amp;"'-"&amp;INT(ROUND((Output!D286/12-INT(Output!D286/12))*12,3))&amp;" "&amp;IF(MROUND(ROUND((Output!D286/12-INT(Output!D286/12))*12,3)-INT(ROUND((Output!D286/12-INT(Output!D286/12))*12,3)),1/8)=0,"",VLOOKUP(MROUND((Output!D286/12-INT(Output!D286/12))*12-INT((Output!D286/12-INT(Output!D286/12))*12),1/8),fract[],2,FALSE))&amp;"''",""),"")</f>
        <v/>
      </c>
      <c r="E287" s="9" t="str">
        <f>IF(ISNUMBER(Output!E286),IF(Output!E286&gt;=12,IFERROR(ROUND(INT(Output!E286)/12,0)&amp;"'-"&amp;INT(ROUND((Output!E286/12-INT(Output!E286/12))*12,2))&amp;" "&amp;IF(MROUND(ROUND((Output!E286/12-INT(Output!E286/12))*12,3)-INT(ROUND((Output!E286/12-INT(Output!E286/12))*12,3)),1/8)=0,"",VLOOKUP(MROUND((Output!E286/12-INT(Output!E286/12))*12-INT((Output!E286/12-INT(Output!E286/12))*12),1/8),fract[],2,FALSE))&amp;"''",""),IFERROR(INT(Output!E286)&amp;" "&amp;IF(MROUND((Output!E286-INT(Output!E286)),1/8)=0,"",VLOOKUP(MROUND((Output!E286-INT(Output!E286)),1/8),fract[],2,FALSE))&amp;"''","")),"")</f>
        <v/>
      </c>
      <c r="F287" s="8"/>
      <c r="G287" s="8"/>
      <c r="H287" s="9" t="str">
        <f t="shared" si="8"/>
        <v/>
      </c>
      <c r="I287" s="9" t="str">
        <f t="shared" si="9"/>
        <v/>
      </c>
      <c r="J287" s="12" t="str">
        <f>IF(ISNUMBER(Output!F286),Output!F286,"")</f>
        <v/>
      </c>
      <c r="K287" s="12" t="str">
        <f>IF(ISNUMBER(Output!G286),Output!G286,"")</f>
        <v/>
      </c>
    </row>
    <row r="288" spans="1:11" x14ac:dyDescent="0.25">
      <c r="A288" s="9" t="str">
        <f>IF(ISBLANK(Output!A287),"",Output!A287)</f>
        <v/>
      </c>
      <c r="B288" s="9" t="str">
        <f>IF(ISBLANK(Output!B287),"",Output!B287)</f>
        <v/>
      </c>
      <c r="C288" s="9" t="str">
        <f>IF(ISNUMBER(Output!C287),IF(Output!C287&gt;=12,IFERROR(ROUND(INT(Output!C287)/12,0)&amp;"'-"&amp;INT(ROUND((Output!C287/12-INT(Output!C287/12))*12,2))&amp;" "&amp;IF(MROUND(ROUND((Output!C287/12-INT(Output!C287/12))*12,3)-INT(ROUND((Output!C287/12-INT(Output!C287/12))*12,3)),1/8)=0,"",VLOOKUP(MROUND((Output!C287/12-INT(Output!C287/12))*12-INT((Output!C287/12-INT(Output!C287/12))*12),1/8),fract[],2,FALSE))&amp;"''",""),IFERROR(INT(Output!C287)&amp;" "&amp;IF(MROUND((Output!C287-INT(Output!C287)),1/8)=0,"",VLOOKUP(MROUND((Output!C287-INT(Output!C287)),1/8),fract[],2,FALSE))&amp;"''","")),"")</f>
        <v/>
      </c>
      <c r="D288" s="9" t="str">
        <f>IF(ISNUMBER(Output!D287),IFERROR(ROUND(INT(Output!D287/12),3)&amp;"'-"&amp;INT(ROUND((Output!D287/12-INT(Output!D287/12))*12,3))&amp;" "&amp;IF(MROUND(ROUND((Output!D287/12-INT(Output!D287/12))*12,3)-INT(ROUND((Output!D287/12-INT(Output!D287/12))*12,3)),1/8)=0,"",VLOOKUP(MROUND((Output!D287/12-INT(Output!D287/12))*12-INT((Output!D287/12-INT(Output!D287/12))*12),1/8),fract[],2,FALSE))&amp;"''",""),"")</f>
        <v/>
      </c>
      <c r="E288" s="9" t="str">
        <f>IF(ISNUMBER(Output!E287),IF(Output!E287&gt;=12,IFERROR(ROUND(INT(Output!E287)/12,0)&amp;"'-"&amp;INT(ROUND((Output!E287/12-INT(Output!E287/12))*12,2))&amp;" "&amp;IF(MROUND(ROUND((Output!E287/12-INT(Output!E287/12))*12,3)-INT(ROUND((Output!E287/12-INT(Output!E287/12))*12,3)),1/8)=0,"",VLOOKUP(MROUND((Output!E287/12-INT(Output!E287/12))*12-INT((Output!E287/12-INT(Output!E287/12))*12),1/8),fract[],2,FALSE))&amp;"''",""),IFERROR(INT(Output!E287)&amp;" "&amp;IF(MROUND((Output!E287-INT(Output!E287)),1/8)=0,"",VLOOKUP(MROUND((Output!E287-INT(Output!E287)),1/8),fract[],2,FALSE))&amp;"''","")),"")</f>
        <v/>
      </c>
      <c r="F288" s="8"/>
      <c r="G288" s="8"/>
      <c r="H288" s="9" t="str">
        <f t="shared" si="8"/>
        <v/>
      </c>
      <c r="I288" s="9" t="str">
        <f t="shared" si="9"/>
        <v/>
      </c>
      <c r="J288" s="12" t="str">
        <f>IF(ISNUMBER(Output!F287),Output!F287,"")</f>
        <v/>
      </c>
      <c r="K288" s="12" t="str">
        <f>IF(ISNUMBER(Output!G287),Output!G287,"")</f>
        <v/>
      </c>
    </row>
    <row r="289" spans="1:11" x14ac:dyDescent="0.25">
      <c r="A289" s="9" t="str">
        <f>IF(ISBLANK(Output!A288),"",Output!A288)</f>
        <v/>
      </c>
      <c r="B289" s="9" t="str">
        <f>IF(ISBLANK(Output!B288),"",Output!B288)</f>
        <v/>
      </c>
      <c r="C289" s="9" t="str">
        <f>IF(ISNUMBER(Output!C288),IF(Output!C288&gt;=12,IFERROR(ROUND(INT(Output!C288)/12,0)&amp;"'-"&amp;INT(ROUND((Output!C288/12-INT(Output!C288/12))*12,2))&amp;" "&amp;IF(MROUND(ROUND((Output!C288/12-INT(Output!C288/12))*12,3)-INT(ROUND((Output!C288/12-INT(Output!C288/12))*12,3)),1/8)=0,"",VLOOKUP(MROUND((Output!C288/12-INT(Output!C288/12))*12-INT((Output!C288/12-INT(Output!C288/12))*12),1/8),fract[],2,FALSE))&amp;"''",""),IFERROR(INT(Output!C288)&amp;" "&amp;IF(MROUND((Output!C288-INT(Output!C288)),1/8)=0,"",VLOOKUP(MROUND((Output!C288-INT(Output!C288)),1/8),fract[],2,FALSE))&amp;"''","")),"")</f>
        <v/>
      </c>
      <c r="D289" s="9" t="str">
        <f>IF(ISNUMBER(Output!D288),IFERROR(ROUND(INT(Output!D288/12),3)&amp;"'-"&amp;INT(ROUND((Output!D288/12-INT(Output!D288/12))*12,3))&amp;" "&amp;IF(MROUND(ROUND((Output!D288/12-INT(Output!D288/12))*12,3)-INT(ROUND((Output!D288/12-INT(Output!D288/12))*12,3)),1/8)=0,"",VLOOKUP(MROUND((Output!D288/12-INT(Output!D288/12))*12-INT((Output!D288/12-INT(Output!D288/12))*12),1/8),fract[],2,FALSE))&amp;"''",""),"")</f>
        <v/>
      </c>
      <c r="E289" s="9" t="str">
        <f>IF(ISNUMBER(Output!E288),IF(Output!E288&gt;=12,IFERROR(ROUND(INT(Output!E288)/12,0)&amp;"'-"&amp;INT(ROUND((Output!E288/12-INT(Output!E288/12))*12,2))&amp;" "&amp;IF(MROUND(ROUND((Output!E288/12-INT(Output!E288/12))*12,3)-INT(ROUND((Output!E288/12-INT(Output!E288/12))*12,3)),1/8)=0,"",VLOOKUP(MROUND((Output!E288/12-INT(Output!E288/12))*12-INT((Output!E288/12-INT(Output!E288/12))*12),1/8),fract[],2,FALSE))&amp;"''",""),IFERROR(INT(Output!E288)&amp;" "&amp;IF(MROUND((Output!E288-INT(Output!E288)),1/8)=0,"",VLOOKUP(MROUND((Output!E288-INT(Output!E288)),1/8),fract[],2,FALSE))&amp;"''","")),"")</f>
        <v/>
      </c>
      <c r="F289" s="8"/>
      <c r="G289" s="8"/>
      <c r="H289" s="9" t="str">
        <f t="shared" si="8"/>
        <v/>
      </c>
      <c r="I289" s="9" t="str">
        <f t="shared" si="9"/>
        <v/>
      </c>
      <c r="J289" s="12" t="str">
        <f>IF(ISNUMBER(Output!F288),Output!F288,"")</f>
        <v/>
      </c>
      <c r="K289" s="12" t="str">
        <f>IF(ISNUMBER(Output!G288),Output!G288,"")</f>
        <v/>
      </c>
    </row>
    <row r="290" spans="1:11" x14ac:dyDescent="0.25">
      <c r="A290" s="9" t="str">
        <f>IF(ISBLANK(Output!A289),"",Output!A289)</f>
        <v/>
      </c>
      <c r="B290" s="9" t="str">
        <f>IF(ISBLANK(Output!B289),"",Output!B289)</f>
        <v/>
      </c>
      <c r="C290" s="9" t="str">
        <f>IF(ISNUMBER(Output!C289),IF(Output!C289&gt;=12,IFERROR(ROUND(INT(Output!C289)/12,0)&amp;"'-"&amp;INT(ROUND((Output!C289/12-INT(Output!C289/12))*12,2))&amp;" "&amp;IF(MROUND(ROUND((Output!C289/12-INT(Output!C289/12))*12,3)-INT(ROUND((Output!C289/12-INT(Output!C289/12))*12,3)),1/8)=0,"",VLOOKUP(MROUND((Output!C289/12-INT(Output!C289/12))*12-INT((Output!C289/12-INT(Output!C289/12))*12),1/8),fract[],2,FALSE))&amp;"''",""),IFERROR(INT(Output!C289)&amp;" "&amp;IF(MROUND((Output!C289-INT(Output!C289)),1/8)=0,"",VLOOKUP(MROUND((Output!C289-INT(Output!C289)),1/8),fract[],2,FALSE))&amp;"''","")),"")</f>
        <v/>
      </c>
      <c r="D290" s="9" t="str">
        <f>IF(ISNUMBER(Output!D289),IFERROR(ROUND(INT(Output!D289/12),3)&amp;"'-"&amp;INT(ROUND((Output!D289/12-INT(Output!D289/12))*12,3))&amp;" "&amp;IF(MROUND(ROUND((Output!D289/12-INT(Output!D289/12))*12,3)-INT(ROUND((Output!D289/12-INT(Output!D289/12))*12,3)),1/8)=0,"",VLOOKUP(MROUND((Output!D289/12-INT(Output!D289/12))*12-INT((Output!D289/12-INT(Output!D289/12))*12),1/8),fract[],2,FALSE))&amp;"''",""),"")</f>
        <v/>
      </c>
      <c r="E290" s="9" t="str">
        <f>IF(ISNUMBER(Output!E289),IF(Output!E289&gt;=12,IFERROR(ROUND(INT(Output!E289)/12,0)&amp;"'-"&amp;INT(ROUND((Output!E289/12-INT(Output!E289/12))*12,2))&amp;" "&amp;IF(MROUND(ROUND((Output!E289/12-INT(Output!E289/12))*12,3)-INT(ROUND((Output!E289/12-INT(Output!E289/12))*12,3)),1/8)=0,"",VLOOKUP(MROUND((Output!E289/12-INT(Output!E289/12))*12-INT((Output!E289/12-INT(Output!E289/12))*12),1/8),fract[],2,FALSE))&amp;"''",""),IFERROR(INT(Output!E289)&amp;" "&amp;IF(MROUND((Output!E289-INT(Output!E289)),1/8)=0,"",VLOOKUP(MROUND((Output!E289-INT(Output!E289)),1/8),fract[],2,FALSE))&amp;"''","")),"")</f>
        <v/>
      </c>
      <c r="F290" s="8"/>
      <c r="G290" s="8"/>
      <c r="H290" s="9" t="str">
        <f t="shared" si="8"/>
        <v/>
      </c>
      <c r="I290" s="9" t="str">
        <f t="shared" si="9"/>
        <v/>
      </c>
      <c r="J290" s="12" t="str">
        <f>IF(ISNUMBER(Output!F289),Output!F289,"")</f>
        <v/>
      </c>
      <c r="K290" s="12" t="str">
        <f>IF(ISNUMBER(Output!G289),Output!G289,"")</f>
        <v/>
      </c>
    </row>
    <row r="291" spans="1:11" x14ac:dyDescent="0.25">
      <c r="A291" s="9" t="str">
        <f>IF(ISBLANK(Output!A290),"",Output!A290)</f>
        <v/>
      </c>
      <c r="B291" s="9" t="str">
        <f>IF(ISBLANK(Output!B290),"",Output!B290)</f>
        <v/>
      </c>
      <c r="C291" s="9" t="str">
        <f>IF(ISNUMBER(Output!C290),IF(Output!C290&gt;=12,IFERROR(ROUND(INT(Output!C290)/12,0)&amp;"'-"&amp;INT(ROUND((Output!C290/12-INT(Output!C290/12))*12,2))&amp;" "&amp;IF(MROUND(ROUND((Output!C290/12-INT(Output!C290/12))*12,3)-INT(ROUND((Output!C290/12-INT(Output!C290/12))*12,3)),1/8)=0,"",VLOOKUP(MROUND((Output!C290/12-INT(Output!C290/12))*12-INT((Output!C290/12-INT(Output!C290/12))*12),1/8),fract[],2,FALSE))&amp;"''",""),IFERROR(INT(Output!C290)&amp;" "&amp;IF(MROUND((Output!C290-INT(Output!C290)),1/8)=0,"",VLOOKUP(MROUND((Output!C290-INT(Output!C290)),1/8),fract[],2,FALSE))&amp;"''","")),"")</f>
        <v/>
      </c>
      <c r="D291" s="9" t="str">
        <f>IF(ISNUMBER(Output!D290),IFERROR(ROUND(INT(Output!D290/12),3)&amp;"'-"&amp;INT(ROUND((Output!D290/12-INT(Output!D290/12))*12,3))&amp;" "&amp;IF(MROUND(ROUND((Output!D290/12-INT(Output!D290/12))*12,3)-INT(ROUND((Output!D290/12-INT(Output!D290/12))*12,3)),1/8)=0,"",VLOOKUP(MROUND((Output!D290/12-INT(Output!D290/12))*12-INT((Output!D290/12-INT(Output!D290/12))*12),1/8),fract[],2,FALSE))&amp;"''",""),"")</f>
        <v/>
      </c>
      <c r="E291" s="9" t="str">
        <f>IF(ISNUMBER(Output!E290),IF(Output!E290&gt;=12,IFERROR(ROUND(INT(Output!E290)/12,0)&amp;"'-"&amp;INT(ROUND((Output!E290/12-INT(Output!E290/12))*12,2))&amp;" "&amp;IF(MROUND(ROUND((Output!E290/12-INT(Output!E290/12))*12,3)-INT(ROUND((Output!E290/12-INT(Output!E290/12))*12,3)),1/8)=0,"",VLOOKUP(MROUND((Output!E290/12-INT(Output!E290/12))*12-INT((Output!E290/12-INT(Output!E290/12))*12),1/8),fract[],2,FALSE))&amp;"''",""),IFERROR(INT(Output!E290)&amp;" "&amp;IF(MROUND((Output!E290-INT(Output!E290)),1/8)=0,"",VLOOKUP(MROUND((Output!E290-INT(Output!E290)),1/8),fract[],2,FALSE))&amp;"''","")),"")</f>
        <v/>
      </c>
      <c r="F291" s="8"/>
      <c r="G291" s="8"/>
      <c r="H291" s="9" t="str">
        <f t="shared" si="8"/>
        <v/>
      </c>
      <c r="I291" s="9" t="str">
        <f t="shared" si="9"/>
        <v/>
      </c>
      <c r="J291" s="12" t="str">
        <f>IF(ISNUMBER(Output!F290),Output!F290,"")</f>
        <v/>
      </c>
      <c r="K291" s="12" t="str">
        <f>IF(ISNUMBER(Output!G290),Output!G290,"")</f>
        <v/>
      </c>
    </row>
    <row r="292" spans="1:11" x14ac:dyDescent="0.25">
      <c r="A292" s="9" t="str">
        <f>IF(ISBLANK(Output!A291),"",Output!A291)</f>
        <v/>
      </c>
      <c r="B292" s="9" t="str">
        <f>IF(ISBLANK(Output!B291),"",Output!B291)</f>
        <v/>
      </c>
      <c r="C292" s="9" t="str">
        <f>IF(ISNUMBER(Output!C291),IF(Output!C291&gt;=12,IFERROR(ROUND(INT(Output!C291)/12,0)&amp;"'-"&amp;INT(ROUND((Output!C291/12-INT(Output!C291/12))*12,2))&amp;" "&amp;IF(MROUND(ROUND((Output!C291/12-INT(Output!C291/12))*12,3)-INT(ROUND((Output!C291/12-INT(Output!C291/12))*12,3)),1/8)=0,"",VLOOKUP(MROUND((Output!C291/12-INT(Output!C291/12))*12-INT((Output!C291/12-INT(Output!C291/12))*12),1/8),fract[],2,FALSE))&amp;"''",""),IFERROR(INT(Output!C291)&amp;" "&amp;IF(MROUND((Output!C291-INT(Output!C291)),1/8)=0,"",VLOOKUP(MROUND((Output!C291-INT(Output!C291)),1/8),fract[],2,FALSE))&amp;"''","")),"")</f>
        <v/>
      </c>
      <c r="D292" s="9" t="str">
        <f>IF(ISNUMBER(Output!D291),IFERROR(ROUND(INT(Output!D291/12),3)&amp;"'-"&amp;INT(ROUND((Output!D291/12-INT(Output!D291/12))*12,3))&amp;" "&amp;IF(MROUND(ROUND((Output!D291/12-INT(Output!D291/12))*12,3)-INT(ROUND((Output!D291/12-INT(Output!D291/12))*12,3)),1/8)=0,"",VLOOKUP(MROUND((Output!D291/12-INT(Output!D291/12))*12-INT((Output!D291/12-INT(Output!D291/12))*12),1/8),fract[],2,FALSE))&amp;"''",""),"")</f>
        <v/>
      </c>
      <c r="E292" s="9" t="str">
        <f>IF(ISNUMBER(Output!E291),IF(Output!E291&gt;=12,IFERROR(ROUND(INT(Output!E291)/12,0)&amp;"'-"&amp;INT(ROUND((Output!E291/12-INT(Output!E291/12))*12,2))&amp;" "&amp;IF(MROUND(ROUND((Output!E291/12-INT(Output!E291/12))*12,3)-INT(ROUND((Output!E291/12-INT(Output!E291/12))*12,3)),1/8)=0,"",VLOOKUP(MROUND((Output!E291/12-INT(Output!E291/12))*12-INT((Output!E291/12-INT(Output!E291/12))*12),1/8),fract[],2,FALSE))&amp;"''",""),IFERROR(INT(Output!E291)&amp;" "&amp;IF(MROUND((Output!E291-INT(Output!E291)),1/8)=0,"",VLOOKUP(MROUND((Output!E291-INT(Output!E291)),1/8),fract[],2,FALSE))&amp;"''","")),"")</f>
        <v/>
      </c>
      <c r="F292" s="8"/>
      <c r="G292" s="8"/>
      <c r="H292" s="9" t="str">
        <f t="shared" si="8"/>
        <v/>
      </c>
      <c r="I292" s="9" t="str">
        <f t="shared" si="9"/>
        <v/>
      </c>
      <c r="J292" s="12" t="str">
        <f>IF(ISNUMBER(Output!F291),Output!F291,"")</f>
        <v/>
      </c>
      <c r="K292" s="12" t="str">
        <f>IF(ISNUMBER(Output!G291),Output!G291,"")</f>
        <v/>
      </c>
    </row>
    <row r="293" spans="1:11" x14ac:dyDescent="0.25">
      <c r="A293" s="9" t="str">
        <f>IF(ISBLANK(Output!A292),"",Output!A292)</f>
        <v/>
      </c>
      <c r="B293" s="9" t="str">
        <f>IF(ISBLANK(Output!B292),"",Output!B292)</f>
        <v/>
      </c>
      <c r="C293" s="9" t="str">
        <f>IF(ISNUMBER(Output!C292),IF(Output!C292&gt;=12,IFERROR(ROUND(INT(Output!C292)/12,0)&amp;"'-"&amp;INT(ROUND((Output!C292/12-INT(Output!C292/12))*12,2))&amp;" "&amp;IF(MROUND(ROUND((Output!C292/12-INT(Output!C292/12))*12,3)-INT(ROUND((Output!C292/12-INT(Output!C292/12))*12,3)),1/8)=0,"",VLOOKUP(MROUND((Output!C292/12-INT(Output!C292/12))*12-INT((Output!C292/12-INT(Output!C292/12))*12),1/8),fract[],2,FALSE))&amp;"''",""),IFERROR(INT(Output!C292)&amp;" "&amp;IF(MROUND((Output!C292-INT(Output!C292)),1/8)=0,"",VLOOKUP(MROUND((Output!C292-INT(Output!C292)),1/8),fract[],2,FALSE))&amp;"''","")),"")</f>
        <v/>
      </c>
      <c r="D293" s="9" t="str">
        <f>IF(ISNUMBER(Output!D292),IFERROR(ROUND(INT(Output!D292/12),3)&amp;"'-"&amp;INT(ROUND((Output!D292/12-INT(Output!D292/12))*12,3))&amp;" "&amp;IF(MROUND(ROUND((Output!D292/12-INT(Output!D292/12))*12,3)-INT(ROUND((Output!D292/12-INT(Output!D292/12))*12,3)),1/8)=0,"",VLOOKUP(MROUND((Output!D292/12-INT(Output!D292/12))*12-INT((Output!D292/12-INT(Output!D292/12))*12),1/8),fract[],2,FALSE))&amp;"''",""),"")</f>
        <v/>
      </c>
      <c r="E293" s="9" t="str">
        <f>IF(ISNUMBER(Output!E292),IF(Output!E292&gt;=12,IFERROR(ROUND(INT(Output!E292)/12,0)&amp;"'-"&amp;INT(ROUND((Output!E292/12-INT(Output!E292/12))*12,2))&amp;" "&amp;IF(MROUND(ROUND((Output!E292/12-INT(Output!E292/12))*12,3)-INT(ROUND((Output!E292/12-INT(Output!E292/12))*12,3)),1/8)=0,"",VLOOKUP(MROUND((Output!E292/12-INT(Output!E292/12))*12-INT((Output!E292/12-INT(Output!E292/12))*12),1/8),fract[],2,FALSE))&amp;"''",""),IFERROR(INT(Output!E292)&amp;" "&amp;IF(MROUND((Output!E292-INT(Output!E292)),1/8)=0,"",VLOOKUP(MROUND((Output!E292-INT(Output!E292)),1/8),fract[],2,FALSE))&amp;"''","")),"")</f>
        <v/>
      </c>
      <c r="F293" s="8"/>
      <c r="G293" s="8"/>
      <c r="H293" s="9" t="str">
        <f t="shared" si="8"/>
        <v/>
      </c>
      <c r="I293" s="9" t="str">
        <f t="shared" si="9"/>
        <v/>
      </c>
      <c r="J293" s="12" t="str">
        <f>IF(ISNUMBER(Output!F292),Output!F292,"")</f>
        <v/>
      </c>
      <c r="K293" s="12" t="str">
        <f>IF(ISNUMBER(Output!G292),Output!G292,"")</f>
        <v/>
      </c>
    </row>
    <row r="294" spans="1:11" x14ac:dyDescent="0.25">
      <c r="A294" s="9" t="str">
        <f>IF(ISBLANK(Output!A293),"",Output!A293)</f>
        <v/>
      </c>
      <c r="B294" s="9" t="str">
        <f>IF(ISBLANK(Output!B293),"",Output!B293)</f>
        <v/>
      </c>
      <c r="C294" s="9" t="str">
        <f>IF(ISNUMBER(Output!C293),IF(Output!C293&gt;=12,IFERROR(ROUND(INT(Output!C293)/12,0)&amp;"'-"&amp;INT(ROUND((Output!C293/12-INT(Output!C293/12))*12,2))&amp;" "&amp;IF(MROUND(ROUND((Output!C293/12-INT(Output!C293/12))*12,3)-INT(ROUND((Output!C293/12-INT(Output!C293/12))*12,3)),1/8)=0,"",VLOOKUP(MROUND((Output!C293/12-INT(Output!C293/12))*12-INT((Output!C293/12-INT(Output!C293/12))*12),1/8),fract[],2,FALSE))&amp;"''",""),IFERROR(INT(Output!C293)&amp;" "&amp;IF(MROUND((Output!C293-INT(Output!C293)),1/8)=0,"",VLOOKUP(MROUND((Output!C293-INT(Output!C293)),1/8),fract[],2,FALSE))&amp;"''","")),"")</f>
        <v/>
      </c>
      <c r="D294" s="9" t="str">
        <f>IF(ISNUMBER(Output!D293),IFERROR(ROUND(INT(Output!D293/12),3)&amp;"'-"&amp;INT(ROUND((Output!D293/12-INT(Output!D293/12))*12,3))&amp;" "&amp;IF(MROUND(ROUND((Output!D293/12-INT(Output!D293/12))*12,3)-INT(ROUND((Output!D293/12-INT(Output!D293/12))*12,3)),1/8)=0,"",VLOOKUP(MROUND((Output!D293/12-INT(Output!D293/12))*12-INT((Output!D293/12-INT(Output!D293/12))*12),1/8),fract[],2,FALSE))&amp;"''",""),"")</f>
        <v/>
      </c>
      <c r="E294" s="9" t="str">
        <f>IF(ISNUMBER(Output!E293),IF(Output!E293&gt;=12,IFERROR(ROUND(INT(Output!E293)/12,0)&amp;"'-"&amp;INT(ROUND((Output!E293/12-INT(Output!E293/12))*12,2))&amp;" "&amp;IF(MROUND(ROUND((Output!E293/12-INT(Output!E293/12))*12,3)-INT(ROUND((Output!E293/12-INT(Output!E293/12))*12,3)),1/8)=0,"",VLOOKUP(MROUND((Output!E293/12-INT(Output!E293/12))*12-INT((Output!E293/12-INT(Output!E293/12))*12),1/8),fract[],2,FALSE))&amp;"''",""),IFERROR(INT(Output!E293)&amp;" "&amp;IF(MROUND((Output!E293-INT(Output!E293)),1/8)=0,"",VLOOKUP(MROUND((Output!E293-INT(Output!E293)),1/8),fract[],2,FALSE))&amp;"''","")),"")</f>
        <v/>
      </c>
      <c r="F294" s="8"/>
      <c r="G294" s="8"/>
      <c r="H294" s="9" t="str">
        <f t="shared" si="8"/>
        <v/>
      </c>
      <c r="I294" s="9" t="str">
        <f t="shared" si="9"/>
        <v/>
      </c>
      <c r="J294" s="12" t="str">
        <f>IF(ISNUMBER(Output!F293),Output!F293,"")</f>
        <v/>
      </c>
      <c r="K294" s="12" t="str">
        <f>IF(ISNUMBER(Output!G293),Output!G293,"")</f>
        <v/>
      </c>
    </row>
    <row r="295" spans="1:11" x14ac:dyDescent="0.25">
      <c r="A295" s="9" t="str">
        <f>IF(ISBLANK(Output!A294),"",Output!A294)</f>
        <v/>
      </c>
      <c r="B295" s="9" t="str">
        <f>IF(ISBLANK(Output!B294),"",Output!B294)</f>
        <v/>
      </c>
      <c r="C295" s="9" t="str">
        <f>IF(ISNUMBER(Output!C294),IF(Output!C294&gt;=12,IFERROR(ROUND(INT(Output!C294)/12,0)&amp;"'-"&amp;INT(ROUND((Output!C294/12-INT(Output!C294/12))*12,2))&amp;" "&amp;IF(MROUND(ROUND((Output!C294/12-INT(Output!C294/12))*12,3)-INT(ROUND((Output!C294/12-INT(Output!C294/12))*12,3)),1/8)=0,"",VLOOKUP(MROUND((Output!C294/12-INT(Output!C294/12))*12-INT((Output!C294/12-INT(Output!C294/12))*12),1/8),fract[],2,FALSE))&amp;"''",""),IFERROR(INT(Output!C294)&amp;" "&amp;IF(MROUND((Output!C294-INT(Output!C294)),1/8)=0,"",VLOOKUP(MROUND((Output!C294-INT(Output!C294)),1/8),fract[],2,FALSE))&amp;"''","")),"")</f>
        <v/>
      </c>
      <c r="D295" s="9" t="str">
        <f>IF(ISNUMBER(Output!D294),IFERROR(ROUND(INT(Output!D294/12),3)&amp;"'-"&amp;INT(ROUND((Output!D294/12-INT(Output!D294/12))*12,3))&amp;" "&amp;IF(MROUND(ROUND((Output!D294/12-INT(Output!D294/12))*12,3)-INT(ROUND((Output!D294/12-INT(Output!D294/12))*12,3)),1/8)=0,"",VLOOKUP(MROUND((Output!D294/12-INT(Output!D294/12))*12-INT((Output!D294/12-INT(Output!D294/12))*12),1/8),fract[],2,FALSE))&amp;"''",""),"")</f>
        <v/>
      </c>
      <c r="E295" s="9" t="str">
        <f>IF(ISNUMBER(Output!E294),IF(Output!E294&gt;=12,IFERROR(ROUND(INT(Output!E294)/12,0)&amp;"'-"&amp;INT(ROUND((Output!E294/12-INT(Output!E294/12))*12,2))&amp;" "&amp;IF(MROUND(ROUND((Output!E294/12-INT(Output!E294/12))*12,3)-INT(ROUND((Output!E294/12-INT(Output!E294/12))*12,3)),1/8)=0,"",VLOOKUP(MROUND((Output!E294/12-INT(Output!E294/12))*12-INT((Output!E294/12-INT(Output!E294/12))*12),1/8),fract[],2,FALSE))&amp;"''",""),IFERROR(INT(Output!E294)&amp;" "&amp;IF(MROUND((Output!E294-INT(Output!E294)),1/8)=0,"",VLOOKUP(MROUND((Output!E294-INT(Output!E294)),1/8),fract[],2,FALSE))&amp;"''","")),"")</f>
        <v/>
      </c>
      <c r="F295" s="8"/>
      <c r="G295" s="8"/>
      <c r="H295" s="9" t="str">
        <f t="shared" si="8"/>
        <v/>
      </c>
      <c r="I295" s="9" t="str">
        <f t="shared" si="9"/>
        <v/>
      </c>
      <c r="J295" s="12" t="str">
        <f>IF(ISNUMBER(Output!F294),Output!F294,"")</f>
        <v/>
      </c>
      <c r="K295" s="12" t="str">
        <f>IF(ISNUMBER(Output!G294),Output!G294,"")</f>
        <v/>
      </c>
    </row>
    <row r="296" spans="1:11" x14ac:dyDescent="0.25">
      <c r="A296" s="9" t="str">
        <f>IF(ISBLANK(Output!A295),"",Output!A295)</f>
        <v/>
      </c>
      <c r="B296" s="9" t="str">
        <f>IF(ISBLANK(Output!B295),"",Output!B295)</f>
        <v/>
      </c>
      <c r="C296" s="9" t="str">
        <f>IF(ISNUMBER(Output!C295),IF(Output!C295&gt;=12,IFERROR(ROUND(INT(Output!C295)/12,0)&amp;"'-"&amp;INT(ROUND((Output!C295/12-INT(Output!C295/12))*12,2))&amp;" "&amp;IF(MROUND(ROUND((Output!C295/12-INT(Output!C295/12))*12,3)-INT(ROUND((Output!C295/12-INT(Output!C295/12))*12,3)),1/8)=0,"",VLOOKUP(MROUND((Output!C295/12-INT(Output!C295/12))*12-INT((Output!C295/12-INT(Output!C295/12))*12),1/8),fract[],2,FALSE))&amp;"''",""),IFERROR(INT(Output!C295)&amp;" "&amp;IF(MROUND((Output!C295-INT(Output!C295)),1/8)=0,"",VLOOKUP(MROUND((Output!C295-INT(Output!C295)),1/8),fract[],2,FALSE))&amp;"''","")),"")</f>
        <v/>
      </c>
      <c r="D296" s="9" t="str">
        <f>IF(ISNUMBER(Output!D295),IFERROR(ROUND(INT(Output!D295/12),3)&amp;"'-"&amp;INT(ROUND((Output!D295/12-INT(Output!D295/12))*12,3))&amp;" "&amp;IF(MROUND(ROUND((Output!D295/12-INT(Output!D295/12))*12,3)-INT(ROUND((Output!D295/12-INT(Output!D295/12))*12,3)),1/8)=0,"",VLOOKUP(MROUND((Output!D295/12-INT(Output!D295/12))*12-INT((Output!D295/12-INT(Output!D295/12))*12),1/8),fract[],2,FALSE))&amp;"''",""),"")</f>
        <v/>
      </c>
      <c r="E296" s="9" t="str">
        <f>IF(ISNUMBER(Output!E295),IF(Output!E295&gt;=12,IFERROR(ROUND(INT(Output!E295)/12,0)&amp;"'-"&amp;INT(ROUND((Output!E295/12-INT(Output!E295/12))*12,2))&amp;" "&amp;IF(MROUND(ROUND((Output!E295/12-INT(Output!E295/12))*12,3)-INT(ROUND((Output!E295/12-INT(Output!E295/12))*12,3)),1/8)=0,"",VLOOKUP(MROUND((Output!E295/12-INT(Output!E295/12))*12-INT((Output!E295/12-INT(Output!E295/12))*12),1/8),fract[],2,FALSE))&amp;"''",""),IFERROR(INT(Output!E295)&amp;" "&amp;IF(MROUND((Output!E295-INT(Output!E295)),1/8)=0,"",VLOOKUP(MROUND((Output!E295-INT(Output!E295)),1/8),fract[],2,FALSE))&amp;"''","")),"")</f>
        <v/>
      </c>
      <c r="F296" s="8"/>
      <c r="G296" s="8"/>
      <c r="H296" s="9" t="str">
        <f t="shared" si="8"/>
        <v/>
      </c>
      <c r="I296" s="9" t="str">
        <f t="shared" si="9"/>
        <v/>
      </c>
      <c r="J296" s="12" t="str">
        <f>IF(ISNUMBER(Output!F295),Output!F295,"")</f>
        <v/>
      </c>
      <c r="K296" s="12" t="str">
        <f>IF(ISNUMBER(Output!G295),Output!G295,"")</f>
        <v/>
      </c>
    </row>
    <row r="297" spans="1:11" x14ac:dyDescent="0.25">
      <c r="A297" s="9" t="str">
        <f>IF(ISBLANK(Output!A296),"",Output!A296)</f>
        <v/>
      </c>
      <c r="B297" s="9" t="str">
        <f>IF(ISBLANK(Output!B296),"",Output!B296)</f>
        <v/>
      </c>
      <c r="C297" s="9" t="str">
        <f>IF(ISNUMBER(Output!C296),IF(Output!C296&gt;=12,IFERROR(ROUND(INT(Output!C296)/12,0)&amp;"'-"&amp;INT(ROUND((Output!C296/12-INT(Output!C296/12))*12,2))&amp;" "&amp;IF(MROUND(ROUND((Output!C296/12-INT(Output!C296/12))*12,3)-INT(ROUND((Output!C296/12-INT(Output!C296/12))*12,3)),1/8)=0,"",VLOOKUP(MROUND((Output!C296/12-INT(Output!C296/12))*12-INT((Output!C296/12-INT(Output!C296/12))*12),1/8),fract[],2,FALSE))&amp;"''",""),IFERROR(INT(Output!C296)&amp;" "&amp;IF(MROUND((Output!C296-INT(Output!C296)),1/8)=0,"",VLOOKUP(MROUND((Output!C296-INT(Output!C296)),1/8),fract[],2,FALSE))&amp;"''","")),"")</f>
        <v/>
      </c>
      <c r="D297" s="9" t="str">
        <f>IF(ISNUMBER(Output!D296),IFERROR(ROUND(INT(Output!D296/12),3)&amp;"'-"&amp;INT(ROUND((Output!D296/12-INT(Output!D296/12))*12,3))&amp;" "&amp;IF(MROUND(ROUND((Output!D296/12-INT(Output!D296/12))*12,3)-INT(ROUND((Output!D296/12-INT(Output!D296/12))*12,3)),1/8)=0,"",VLOOKUP(MROUND((Output!D296/12-INT(Output!D296/12))*12-INT((Output!D296/12-INT(Output!D296/12))*12),1/8),fract[],2,FALSE))&amp;"''",""),"")</f>
        <v/>
      </c>
      <c r="E297" s="9" t="str">
        <f>IF(ISNUMBER(Output!E296),IF(Output!E296&gt;=12,IFERROR(ROUND(INT(Output!E296)/12,0)&amp;"'-"&amp;INT(ROUND((Output!E296/12-INT(Output!E296/12))*12,2))&amp;" "&amp;IF(MROUND(ROUND((Output!E296/12-INT(Output!E296/12))*12,3)-INT(ROUND((Output!E296/12-INT(Output!E296/12))*12,3)),1/8)=0,"",VLOOKUP(MROUND((Output!E296/12-INT(Output!E296/12))*12-INT((Output!E296/12-INT(Output!E296/12))*12),1/8),fract[],2,FALSE))&amp;"''",""),IFERROR(INT(Output!E296)&amp;" "&amp;IF(MROUND((Output!E296-INT(Output!E296)),1/8)=0,"",VLOOKUP(MROUND((Output!E296-INT(Output!E296)),1/8),fract[],2,FALSE))&amp;"''","")),"")</f>
        <v/>
      </c>
      <c r="F297" s="8"/>
      <c r="G297" s="8"/>
      <c r="H297" s="9" t="str">
        <f t="shared" si="8"/>
        <v/>
      </c>
      <c r="I297" s="9" t="str">
        <f t="shared" si="9"/>
        <v/>
      </c>
      <c r="J297" s="12" t="str">
        <f>IF(ISNUMBER(Output!F296),Output!F296,"")</f>
        <v/>
      </c>
      <c r="K297" s="12" t="str">
        <f>IF(ISNUMBER(Output!G296),Output!G296,"")</f>
        <v/>
      </c>
    </row>
    <row r="298" spans="1:11" x14ac:dyDescent="0.25">
      <c r="A298" s="9" t="str">
        <f>IF(ISBLANK(Output!A297),"",Output!A297)</f>
        <v/>
      </c>
      <c r="B298" s="9" t="str">
        <f>IF(ISBLANK(Output!B297),"",Output!B297)</f>
        <v/>
      </c>
      <c r="C298" s="9" t="str">
        <f>IF(ISNUMBER(Output!C297),IF(Output!C297&gt;=12,IFERROR(ROUND(INT(Output!C297)/12,0)&amp;"'-"&amp;INT(ROUND((Output!C297/12-INT(Output!C297/12))*12,2))&amp;" "&amp;IF(MROUND(ROUND((Output!C297/12-INT(Output!C297/12))*12,3)-INT(ROUND((Output!C297/12-INT(Output!C297/12))*12,3)),1/8)=0,"",VLOOKUP(MROUND((Output!C297/12-INT(Output!C297/12))*12-INT((Output!C297/12-INT(Output!C297/12))*12),1/8),fract[],2,FALSE))&amp;"''",""),IFERROR(INT(Output!C297)&amp;" "&amp;IF(MROUND((Output!C297-INT(Output!C297)),1/8)=0,"",VLOOKUP(MROUND((Output!C297-INT(Output!C297)),1/8),fract[],2,FALSE))&amp;"''","")),"")</f>
        <v/>
      </c>
      <c r="D298" s="9" t="str">
        <f>IF(ISNUMBER(Output!D297),IFERROR(ROUND(INT(Output!D297/12),3)&amp;"'-"&amp;INT(ROUND((Output!D297/12-INT(Output!D297/12))*12,3))&amp;" "&amp;IF(MROUND(ROUND((Output!D297/12-INT(Output!D297/12))*12,3)-INT(ROUND((Output!D297/12-INT(Output!D297/12))*12,3)),1/8)=0,"",VLOOKUP(MROUND((Output!D297/12-INT(Output!D297/12))*12-INT((Output!D297/12-INT(Output!D297/12))*12),1/8),fract[],2,FALSE))&amp;"''",""),"")</f>
        <v/>
      </c>
      <c r="E298" s="9" t="str">
        <f>IF(ISNUMBER(Output!E297),IF(Output!E297&gt;=12,IFERROR(ROUND(INT(Output!E297)/12,0)&amp;"'-"&amp;INT(ROUND((Output!E297/12-INT(Output!E297/12))*12,2))&amp;" "&amp;IF(MROUND(ROUND((Output!E297/12-INT(Output!E297/12))*12,3)-INT(ROUND((Output!E297/12-INT(Output!E297/12))*12,3)),1/8)=0,"",VLOOKUP(MROUND((Output!E297/12-INT(Output!E297/12))*12-INT((Output!E297/12-INT(Output!E297/12))*12),1/8),fract[],2,FALSE))&amp;"''",""),IFERROR(INT(Output!E297)&amp;" "&amp;IF(MROUND((Output!E297-INT(Output!E297)),1/8)=0,"",VLOOKUP(MROUND((Output!E297-INT(Output!E297)),1/8),fract[],2,FALSE))&amp;"''","")),"")</f>
        <v/>
      </c>
      <c r="F298" s="8"/>
      <c r="G298" s="8"/>
      <c r="H298" s="9" t="str">
        <f t="shared" si="8"/>
        <v/>
      </c>
      <c r="I298" s="9" t="str">
        <f t="shared" si="9"/>
        <v/>
      </c>
      <c r="J298" s="12" t="str">
        <f>IF(ISNUMBER(Output!F297),Output!F297,"")</f>
        <v/>
      </c>
      <c r="K298" s="12" t="str">
        <f>IF(ISNUMBER(Output!G297),Output!G297,"")</f>
        <v/>
      </c>
    </row>
    <row r="299" spans="1:11" x14ac:dyDescent="0.25">
      <c r="A299" s="9" t="str">
        <f>IF(ISBLANK(Output!A298),"",Output!A298)</f>
        <v/>
      </c>
      <c r="B299" s="9" t="str">
        <f>IF(ISBLANK(Output!B298),"",Output!B298)</f>
        <v/>
      </c>
      <c r="C299" s="9" t="str">
        <f>IF(ISNUMBER(Output!C298),IF(Output!C298&gt;=12,IFERROR(ROUND(INT(Output!C298)/12,0)&amp;"'-"&amp;INT(ROUND((Output!C298/12-INT(Output!C298/12))*12,2))&amp;" "&amp;IF(MROUND(ROUND((Output!C298/12-INT(Output!C298/12))*12,3)-INT(ROUND((Output!C298/12-INT(Output!C298/12))*12,3)),1/8)=0,"",VLOOKUP(MROUND((Output!C298/12-INT(Output!C298/12))*12-INT((Output!C298/12-INT(Output!C298/12))*12),1/8),fract[],2,FALSE))&amp;"''",""),IFERROR(INT(Output!C298)&amp;" "&amp;IF(MROUND((Output!C298-INT(Output!C298)),1/8)=0,"",VLOOKUP(MROUND((Output!C298-INT(Output!C298)),1/8),fract[],2,FALSE))&amp;"''","")),"")</f>
        <v/>
      </c>
      <c r="D299" s="9" t="str">
        <f>IF(ISNUMBER(Output!D298),IFERROR(ROUND(INT(Output!D298/12),3)&amp;"'-"&amp;INT(ROUND((Output!D298/12-INT(Output!D298/12))*12,3))&amp;" "&amp;IF(MROUND(ROUND((Output!D298/12-INT(Output!D298/12))*12,3)-INT(ROUND((Output!D298/12-INT(Output!D298/12))*12,3)),1/8)=0,"",VLOOKUP(MROUND((Output!D298/12-INT(Output!D298/12))*12-INT((Output!D298/12-INT(Output!D298/12))*12),1/8),fract[],2,FALSE))&amp;"''",""),"")</f>
        <v/>
      </c>
      <c r="E299" s="9" t="str">
        <f>IF(ISNUMBER(Output!E298),IF(Output!E298&gt;=12,IFERROR(ROUND(INT(Output!E298)/12,0)&amp;"'-"&amp;INT(ROUND((Output!E298/12-INT(Output!E298/12))*12,2))&amp;" "&amp;IF(MROUND(ROUND((Output!E298/12-INT(Output!E298/12))*12,3)-INT(ROUND((Output!E298/12-INT(Output!E298/12))*12,3)),1/8)=0,"",VLOOKUP(MROUND((Output!E298/12-INT(Output!E298/12))*12-INT((Output!E298/12-INT(Output!E298/12))*12),1/8),fract[],2,FALSE))&amp;"''",""),IFERROR(INT(Output!E298)&amp;" "&amp;IF(MROUND((Output!E298-INT(Output!E298)),1/8)=0,"",VLOOKUP(MROUND((Output!E298-INT(Output!E298)),1/8),fract[],2,FALSE))&amp;"''","")),"")</f>
        <v/>
      </c>
      <c r="F299" s="8"/>
      <c r="G299" s="8"/>
      <c r="H299" s="9" t="str">
        <f t="shared" si="8"/>
        <v/>
      </c>
      <c r="I299" s="9" t="str">
        <f t="shared" si="9"/>
        <v/>
      </c>
      <c r="J299" s="12" t="str">
        <f>IF(ISNUMBER(Output!F298),Output!F298,"")</f>
        <v/>
      </c>
      <c r="K299" s="12" t="str">
        <f>IF(ISNUMBER(Output!G298),Output!G298,"")</f>
        <v/>
      </c>
    </row>
    <row r="300" spans="1:11" x14ac:dyDescent="0.25">
      <c r="A300" s="9" t="str">
        <f>IF(ISBLANK(Output!A299),"",Output!A299)</f>
        <v/>
      </c>
      <c r="B300" s="9" t="str">
        <f>IF(ISBLANK(Output!B299),"",Output!B299)</f>
        <v/>
      </c>
      <c r="C300" s="9" t="str">
        <f>IF(ISNUMBER(Output!C299),IF(Output!C299&gt;=12,IFERROR(ROUND(INT(Output!C299)/12,0)&amp;"'-"&amp;INT(ROUND((Output!C299/12-INT(Output!C299/12))*12,2))&amp;" "&amp;IF(MROUND(ROUND((Output!C299/12-INT(Output!C299/12))*12,3)-INT(ROUND((Output!C299/12-INT(Output!C299/12))*12,3)),1/8)=0,"",VLOOKUP(MROUND((Output!C299/12-INT(Output!C299/12))*12-INT((Output!C299/12-INT(Output!C299/12))*12),1/8),fract[],2,FALSE))&amp;"''",""),IFERROR(INT(Output!C299)&amp;" "&amp;IF(MROUND((Output!C299-INT(Output!C299)),1/8)=0,"",VLOOKUP(MROUND((Output!C299-INT(Output!C299)),1/8),fract[],2,FALSE))&amp;"''","")),"")</f>
        <v/>
      </c>
      <c r="D300" s="9" t="str">
        <f>IF(ISNUMBER(Output!D299),IFERROR(ROUND(INT(Output!D299/12),3)&amp;"'-"&amp;INT(ROUND((Output!D299/12-INT(Output!D299/12))*12,3))&amp;" "&amp;IF(MROUND(ROUND((Output!D299/12-INT(Output!D299/12))*12,3)-INT(ROUND((Output!D299/12-INT(Output!D299/12))*12,3)),1/8)=0,"",VLOOKUP(MROUND((Output!D299/12-INT(Output!D299/12))*12-INT((Output!D299/12-INT(Output!D299/12))*12),1/8),fract[],2,FALSE))&amp;"''",""),"")</f>
        <v/>
      </c>
      <c r="E300" s="9" t="str">
        <f>IF(ISNUMBER(Output!E299),IF(Output!E299&gt;=12,IFERROR(ROUND(INT(Output!E299)/12,0)&amp;"'-"&amp;INT(ROUND((Output!E299/12-INT(Output!E299/12))*12,2))&amp;" "&amp;IF(MROUND(ROUND((Output!E299/12-INT(Output!E299/12))*12,3)-INT(ROUND((Output!E299/12-INT(Output!E299/12))*12,3)),1/8)=0,"",VLOOKUP(MROUND((Output!E299/12-INT(Output!E299/12))*12-INT((Output!E299/12-INT(Output!E299/12))*12),1/8),fract[],2,FALSE))&amp;"''",""),IFERROR(INT(Output!E299)&amp;" "&amp;IF(MROUND((Output!E299-INT(Output!E299)),1/8)=0,"",VLOOKUP(MROUND((Output!E299-INT(Output!E299)),1/8),fract[],2,FALSE))&amp;"''","")),"")</f>
        <v/>
      </c>
      <c r="F300" s="8"/>
      <c r="G300" s="8"/>
      <c r="H300" s="9" t="str">
        <f t="shared" si="8"/>
        <v/>
      </c>
      <c r="I300" s="9" t="str">
        <f t="shared" si="9"/>
        <v/>
      </c>
      <c r="J300" s="12" t="str">
        <f>IF(ISNUMBER(Output!F299),Output!F299,"")</f>
        <v/>
      </c>
      <c r="K300" s="12" t="str">
        <f>IF(ISNUMBER(Output!G299),Output!G299,"")</f>
        <v/>
      </c>
    </row>
    <row r="301" spans="1:11" x14ac:dyDescent="0.25">
      <c r="A301" s="9" t="str">
        <f>IF(ISBLANK(Output!A300),"",Output!A300)</f>
        <v/>
      </c>
      <c r="B301" s="9" t="str">
        <f>IF(ISBLANK(Output!B300),"",Output!B300)</f>
        <v/>
      </c>
      <c r="C301" s="9" t="str">
        <f>IF(ISNUMBER(Output!C300),IF(Output!C300&gt;=12,IFERROR(ROUND(INT(Output!C300)/12,0)&amp;"'-"&amp;INT(ROUND((Output!C300/12-INT(Output!C300/12))*12,2))&amp;" "&amp;IF(MROUND(ROUND((Output!C300/12-INT(Output!C300/12))*12,3)-INT(ROUND((Output!C300/12-INT(Output!C300/12))*12,3)),1/8)=0,"",VLOOKUP(MROUND((Output!C300/12-INT(Output!C300/12))*12-INT((Output!C300/12-INT(Output!C300/12))*12),1/8),fract[],2,FALSE))&amp;"''",""),IFERROR(INT(Output!C300)&amp;" "&amp;IF(MROUND((Output!C300-INT(Output!C300)),1/8)=0,"",VLOOKUP(MROUND((Output!C300-INT(Output!C300)),1/8),fract[],2,FALSE))&amp;"''","")),"")</f>
        <v/>
      </c>
      <c r="D301" s="9" t="str">
        <f>IF(ISNUMBER(Output!D300),IFERROR(ROUND(INT(Output!D300/12),3)&amp;"'-"&amp;INT(ROUND((Output!D300/12-INT(Output!D300/12))*12,3))&amp;" "&amp;IF(MROUND(ROUND((Output!D300/12-INT(Output!D300/12))*12,3)-INT(ROUND((Output!D300/12-INT(Output!D300/12))*12,3)),1/8)=0,"",VLOOKUP(MROUND((Output!D300/12-INT(Output!D300/12))*12-INT((Output!D300/12-INT(Output!D300/12))*12),1/8),fract[],2,FALSE))&amp;"''",""),"")</f>
        <v/>
      </c>
      <c r="E301" s="9" t="str">
        <f>IF(ISNUMBER(Output!E300),IF(Output!E300&gt;=12,IFERROR(ROUND(INT(Output!E300)/12,0)&amp;"'-"&amp;INT(ROUND((Output!E300/12-INT(Output!E300/12))*12,2))&amp;" "&amp;IF(MROUND(ROUND((Output!E300/12-INT(Output!E300/12))*12,3)-INT(ROUND((Output!E300/12-INT(Output!E300/12))*12,3)),1/8)=0,"",VLOOKUP(MROUND((Output!E300/12-INT(Output!E300/12))*12-INT((Output!E300/12-INT(Output!E300/12))*12),1/8),fract[],2,FALSE))&amp;"''",""),IFERROR(INT(Output!E300)&amp;" "&amp;IF(MROUND((Output!E300-INT(Output!E300)),1/8)=0,"",VLOOKUP(MROUND((Output!E300-INT(Output!E300)),1/8),fract[],2,FALSE))&amp;"''","")),"")</f>
        <v/>
      </c>
      <c r="F301" s="8"/>
      <c r="G301" s="8"/>
      <c r="H301" s="9" t="str">
        <f t="shared" si="8"/>
        <v/>
      </c>
      <c r="I301" s="9" t="str">
        <f t="shared" si="9"/>
        <v/>
      </c>
      <c r="J301" s="12" t="str">
        <f>IF(ISNUMBER(Output!F300),Output!F300,"")</f>
        <v/>
      </c>
      <c r="K301" s="12" t="str">
        <f>IF(ISNUMBER(Output!G300),Output!G300,"")</f>
        <v/>
      </c>
    </row>
    <row r="302" spans="1:11" x14ac:dyDescent="0.25">
      <c r="A302" s="9" t="str">
        <f>IF(ISBLANK(Output!A301),"",Output!A301)</f>
        <v/>
      </c>
      <c r="B302" s="9" t="str">
        <f>IF(ISBLANK(Output!B301),"",Output!B301)</f>
        <v/>
      </c>
      <c r="C302" s="9" t="str">
        <f>IF(ISNUMBER(Output!C301),IF(Output!C301&gt;=12,IFERROR(ROUND(INT(Output!C301)/12,0)&amp;"'-"&amp;INT(ROUND((Output!C301/12-INT(Output!C301/12))*12,2))&amp;" "&amp;IF(MROUND(ROUND((Output!C301/12-INT(Output!C301/12))*12,3)-INT(ROUND((Output!C301/12-INT(Output!C301/12))*12,3)),1/8)=0,"",VLOOKUP(MROUND((Output!C301/12-INT(Output!C301/12))*12-INT((Output!C301/12-INT(Output!C301/12))*12),1/8),fract[],2,FALSE))&amp;"''",""),IFERROR(INT(Output!C301)&amp;" "&amp;IF(MROUND((Output!C301-INT(Output!C301)),1/8)=0,"",VLOOKUP(MROUND((Output!C301-INT(Output!C301)),1/8),fract[],2,FALSE))&amp;"''","")),"")</f>
        <v/>
      </c>
      <c r="D302" s="9" t="str">
        <f>IF(ISNUMBER(Output!D301),IFERROR(ROUND(INT(Output!D301/12),3)&amp;"'-"&amp;INT(ROUND((Output!D301/12-INT(Output!D301/12))*12,3))&amp;" "&amp;IF(MROUND(ROUND((Output!D301/12-INT(Output!D301/12))*12,3)-INT(ROUND((Output!D301/12-INT(Output!D301/12))*12,3)),1/8)=0,"",VLOOKUP(MROUND((Output!D301/12-INT(Output!D301/12))*12-INT((Output!D301/12-INT(Output!D301/12))*12),1/8),fract[],2,FALSE))&amp;"''",""),"")</f>
        <v/>
      </c>
      <c r="E302" s="9" t="str">
        <f>IF(ISNUMBER(Output!E301),IF(Output!E301&gt;=12,IFERROR(ROUND(INT(Output!E301)/12,0)&amp;"'-"&amp;INT(ROUND((Output!E301/12-INT(Output!E301/12))*12,2))&amp;" "&amp;IF(MROUND(ROUND((Output!E301/12-INT(Output!E301/12))*12,3)-INT(ROUND((Output!E301/12-INT(Output!E301/12))*12,3)),1/8)=0,"",VLOOKUP(MROUND((Output!E301/12-INT(Output!E301/12))*12-INT((Output!E301/12-INT(Output!E301/12))*12),1/8),fract[],2,FALSE))&amp;"''",""),IFERROR(INT(Output!E301)&amp;" "&amp;IF(MROUND((Output!E301-INT(Output!E301)),1/8)=0,"",VLOOKUP(MROUND((Output!E301-INT(Output!E301)),1/8),fract[],2,FALSE))&amp;"''","")),"")</f>
        <v/>
      </c>
      <c r="F302" s="8"/>
      <c r="G302" s="8"/>
      <c r="H302" s="9" t="str">
        <f t="shared" si="8"/>
        <v/>
      </c>
      <c r="I302" s="9" t="str">
        <f t="shared" si="9"/>
        <v/>
      </c>
      <c r="J302" s="12" t="str">
        <f>IF(ISNUMBER(Output!F301),Output!F301,"")</f>
        <v/>
      </c>
      <c r="K302" s="12" t="str">
        <f>IF(ISNUMBER(Output!G301),Output!G301,"")</f>
        <v/>
      </c>
    </row>
    <row r="303" spans="1:11" x14ac:dyDescent="0.25">
      <c r="A303" s="9" t="str">
        <f>IF(ISBLANK(Output!A302),"",Output!A302)</f>
        <v/>
      </c>
      <c r="B303" s="9" t="str">
        <f>IF(ISBLANK(Output!B302),"",Output!B302)</f>
        <v/>
      </c>
      <c r="C303" s="9" t="str">
        <f>IF(ISNUMBER(Output!C302),IF(Output!C302&gt;=12,IFERROR(ROUND(INT(Output!C302)/12,0)&amp;"'-"&amp;INT(ROUND((Output!C302/12-INT(Output!C302/12))*12,2))&amp;" "&amp;IF(MROUND(ROUND((Output!C302/12-INT(Output!C302/12))*12,3)-INT(ROUND((Output!C302/12-INT(Output!C302/12))*12,3)),1/8)=0,"",VLOOKUP(MROUND((Output!C302/12-INT(Output!C302/12))*12-INT((Output!C302/12-INT(Output!C302/12))*12),1/8),fract[],2,FALSE))&amp;"''",""),IFERROR(INT(Output!C302)&amp;" "&amp;IF(MROUND((Output!C302-INT(Output!C302)),1/8)=0,"",VLOOKUP(MROUND((Output!C302-INT(Output!C302)),1/8),fract[],2,FALSE))&amp;"''","")),"")</f>
        <v/>
      </c>
      <c r="D303" s="9" t="str">
        <f>IF(ISNUMBER(Output!D302),IFERROR(ROUND(INT(Output!D302/12),3)&amp;"'-"&amp;INT(ROUND((Output!D302/12-INT(Output!D302/12))*12,3))&amp;" "&amp;IF(MROUND(ROUND((Output!D302/12-INT(Output!D302/12))*12,3)-INT(ROUND((Output!D302/12-INT(Output!D302/12))*12,3)),1/8)=0,"",VLOOKUP(MROUND((Output!D302/12-INT(Output!D302/12))*12-INT((Output!D302/12-INT(Output!D302/12))*12),1/8),fract[],2,FALSE))&amp;"''",""),"")</f>
        <v/>
      </c>
      <c r="E303" s="9" t="str">
        <f>IF(ISNUMBER(Output!E302),IF(Output!E302&gt;=12,IFERROR(ROUND(INT(Output!E302)/12,0)&amp;"'-"&amp;INT(ROUND((Output!E302/12-INT(Output!E302/12))*12,2))&amp;" "&amp;IF(MROUND(ROUND((Output!E302/12-INT(Output!E302/12))*12,3)-INT(ROUND((Output!E302/12-INT(Output!E302/12))*12,3)),1/8)=0,"",VLOOKUP(MROUND((Output!E302/12-INT(Output!E302/12))*12-INT((Output!E302/12-INT(Output!E302/12))*12),1/8),fract[],2,FALSE))&amp;"''",""),IFERROR(INT(Output!E302)&amp;" "&amp;IF(MROUND((Output!E302-INT(Output!E302)),1/8)=0,"",VLOOKUP(MROUND((Output!E302-INT(Output!E302)),1/8),fract[],2,FALSE))&amp;"''","")),"")</f>
        <v/>
      </c>
      <c r="F303" s="8"/>
      <c r="G303" s="8"/>
      <c r="H303" s="9" t="str">
        <f t="shared" si="8"/>
        <v/>
      </c>
      <c r="I303" s="9" t="str">
        <f t="shared" si="9"/>
        <v/>
      </c>
      <c r="J303" s="12" t="str">
        <f>IF(ISNUMBER(Output!F302),Output!F302,"")</f>
        <v/>
      </c>
      <c r="K303" s="12" t="str">
        <f>IF(ISNUMBER(Output!G302),Output!G302,"")</f>
        <v/>
      </c>
    </row>
    <row r="304" spans="1:11" x14ac:dyDescent="0.25">
      <c r="A304" s="9" t="str">
        <f>IF(ISBLANK(Output!A303),"",Output!A303)</f>
        <v/>
      </c>
      <c r="B304" s="9" t="str">
        <f>IF(ISBLANK(Output!B303),"",Output!B303)</f>
        <v/>
      </c>
      <c r="C304" s="9" t="str">
        <f>IF(ISNUMBER(Output!C303),IF(Output!C303&gt;=12,IFERROR(ROUND(INT(Output!C303)/12,0)&amp;"'-"&amp;INT(ROUND((Output!C303/12-INT(Output!C303/12))*12,2))&amp;" "&amp;IF(MROUND(ROUND((Output!C303/12-INT(Output!C303/12))*12,3)-INT(ROUND((Output!C303/12-INT(Output!C303/12))*12,3)),1/8)=0,"",VLOOKUP(MROUND((Output!C303/12-INT(Output!C303/12))*12-INT((Output!C303/12-INT(Output!C303/12))*12),1/8),fract[],2,FALSE))&amp;"''",""),IFERROR(INT(Output!C303)&amp;" "&amp;IF(MROUND((Output!C303-INT(Output!C303)),1/8)=0,"",VLOOKUP(MROUND((Output!C303-INT(Output!C303)),1/8),fract[],2,FALSE))&amp;"''","")),"")</f>
        <v/>
      </c>
      <c r="D304" s="9" t="str">
        <f>IF(ISNUMBER(Output!D303),IFERROR(ROUND(INT(Output!D303/12),3)&amp;"'-"&amp;INT(ROUND((Output!D303/12-INT(Output!D303/12))*12,3))&amp;" "&amp;IF(MROUND(ROUND((Output!D303/12-INT(Output!D303/12))*12,3)-INT(ROUND((Output!D303/12-INT(Output!D303/12))*12,3)),1/8)=0,"",VLOOKUP(MROUND((Output!D303/12-INT(Output!D303/12))*12-INT((Output!D303/12-INT(Output!D303/12))*12),1/8),fract[],2,FALSE))&amp;"''",""),"")</f>
        <v/>
      </c>
      <c r="E304" s="9" t="str">
        <f>IF(ISNUMBER(Output!E303),IF(Output!E303&gt;=12,IFERROR(ROUND(INT(Output!E303)/12,0)&amp;"'-"&amp;INT(ROUND((Output!E303/12-INT(Output!E303/12))*12,2))&amp;" "&amp;IF(MROUND(ROUND((Output!E303/12-INT(Output!E303/12))*12,3)-INT(ROUND((Output!E303/12-INT(Output!E303/12))*12,3)),1/8)=0,"",VLOOKUP(MROUND((Output!E303/12-INT(Output!E303/12))*12-INT((Output!E303/12-INT(Output!E303/12))*12),1/8),fract[],2,FALSE))&amp;"''",""),IFERROR(INT(Output!E303)&amp;" "&amp;IF(MROUND((Output!E303-INT(Output!E303)),1/8)=0,"",VLOOKUP(MROUND((Output!E303-INT(Output!E303)),1/8),fract[],2,FALSE))&amp;"''","")),"")</f>
        <v/>
      </c>
      <c r="F304" s="8"/>
      <c r="G304" s="8"/>
      <c r="H304" s="9" t="str">
        <f t="shared" si="8"/>
        <v/>
      </c>
      <c r="I304" s="9" t="str">
        <f t="shared" si="9"/>
        <v/>
      </c>
      <c r="J304" s="12" t="str">
        <f>IF(ISNUMBER(Output!F303),Output!F303,"")</f>
        <v/>
      </c>
      <c r="K304" s="12" t="str">
        <f>IF(ISNUMBER(Output!G303),Output!G303,"")</f>
        <v/>
      </c>
    </row>
    <row r="305" spans="1:11" x14ac:dyDescent="0.25">
      <c r="A305" s="9" t="str">
        <f>IF(ISBLANK(Output!A304),"",Output!A304)</f>
        <v/>
      </c>
      <c r="B305" s="9" t="str">
        <f>IF(ISBLANK(Output!B304),"",Output!B304)</f>
        <v/>
      </c>
      <c r="C305" s="9" t="str">
        <f>IF(ISNUMBER(Output!C304),IF(Output!C304&gt;=12,IFERROR(ROUND(INT(Output!C304)/12,0)&amp;"'-"&amp;INT(ROUND((Output!C304/12-INT(Output!C304/12))*12,2))&amp;" "&amp;IF(MROUND(ROUND((Output!C304/12-INT(Output!C304/12))*12,3)-INT(ROUND((Output!C304/12-INT(Output!C304/12))*12,3)),1/8)=0,"",VLOOKUP(MROUND((Output!C304/12-INT(Output!C304/12))*12-INT((Output!C304/12-INT(Output!C304/12))*12),1/8),fract[],2,FALSE))&amp;"''",""),IFERROR(INT(Output!C304)&amp;" "&amp;IF(MROUND((Output!C304-INT(Output!C304)),1/8)=0,"",VLOOKUP(MROUND((Output!C304-INT(Output!C304)),1/8),fract[],2,FALSE))&amp;"''","")),"")</f>
        <v/>
      </c>
      <c r="D305" s="9" t="str">
        <f>IF(ISNUMBER(Output!D304),IFERROR(ROUND(INT(Output!D304/12),3)&amp;"'-"&amp;INT(ROUND((Output!D304/12-INT(Output!D304/12))*12,3))&amp;" "&amp;IF(MROUND(ROUND((Output!D304/12-INT(Output!D304/12))*12,3)-INT(ROUND((Output!D304/12-INT(Output!D304/12))*12,3)),1/8)=0,"",VLOOKUP(MROUND((Output!D304/12-INT(Output!D304/12))*12-INT((Output!D304/12-INT(Output!D304/12))*12),1/8),fract[],2,FALSE))&amp;"''",""),"")</f>
        <v/>
      </c>
      <c r="E305" s="9" t="str">
        <f>IF(ISNUMBER(Output!E304),IF(Output!E304&gt;=12,IFERROR(ROUND(INT(Output!E304)/12,0)&amp;"'-"&amp;INT(ROUND((Output!E304/12-INT(Output!E304/12))*12,2))&amp;" "&amp;IF(MROUND(ROUND((Output!E304/12-INT(Output!E304/12))*12,3)-INT(ROUND((Output!E304/12-INT(Output!E304/12))*12,3)),1/8)=0,"",VLOOKUP(MROUND((Output!E304/12-INT(Output!E304/12))*12-INT((Output!E304/12-INT(Output!E304/12))*12),1/8),fract[],2,FALSE))&amp;"''",""),IFERROR(INT(Output!E304)&amp;" "&amp;IF(MROUND((Output!E304-INT(Output!E304)),1/8)=0,"",VLOOKUP(MROUND((Output!E304-INT(Output!E304)),1/8),fract[],2,FALSE))&amp;"''","")),"")</f>
        <v/>
      </c>
      <c r="F305" s="8"/>
      <c r="G305" s="8"/>
      <c r="H305" s="9" t="str">
        <f t="shared" si="8"/>
        <v/>
      </c>
      <c r="I305" s="9" t="str">
        <f t="shared" si="9"/>
        <v/>
      </c>
      <c r="J305" s="12" t="str">
        <f>IF(ISNUMBER(Output!F304),Output!F304,"")</f>
        <v/>
      </c>
      <c r="K305" s="12" t="str">
        <f>IF(ISNUMBER(Output!G304),Output!G304,"")</f>
        <v/>
      </c>
    </row>
    <row r="306" spans="1:11" x14ac:dyDescent="0.25">
      <c r="A306" s="9" t="str">
        <f>IF(ISBLANK(Output!A305),"",Output!A305)</f>
        <v/>
      </c>
      <c r="B306" s="9" t="str">
        <f>IF(ISBLANK(Output!B305),"",Output!B305)</f>
        <v/>
      </c>
      <c r="C306" s="9" t="str">
        <f>IF(ISNUMBER(Output!C305),IF(Output!C305&gt;=12,IFERROR(ROUND(INT(Output!C305)/12,0)&amp;"'-"&amp;INT(ROUND((Output!C305/12-INT(Output!C305/12))*12,2))&amp;" "&amp;IF(MROUND(ROUND((Output!C305/12-INT(Output!C305/12))*12,3)-INT(ROUND((Output!C305/12-INT(Output!C305/12))*12,3)),1/8)=0,"",VLOOKUP(MROUND((Output!C305/12-INT(Output!C305/12))*12-INT((Output!C305/12-INT(Output!C305/12))*12),1/8),fract[],2,FALSE))&amp;"''",""),IFERROR(INT(Output!C305)&amp;" "&amp;IF(MROUND((Output!C305-INT(Output!C305)),1/8)=0,"",VLOOKUP(MROUND((Output!C305-INT(Output!C305)),1/8),fract[],2,FALSE))&amp;"''","")),"")</f>
        <v/>
      </c>
      <c r="D306" s="9" t="str">
        <f>IF(ISNUMBER(Output!D305),IFERROR(ROUND(INT(Output!D305/12),3)&amp;"'-"&amp;INT(ROUND((Output!D305/12-INT(Output!D305/12))*12,3))&amp;" "&amp;IF(MROUND(ROUND((Output!D305/12-INT(Output!D305/12))*12,3)-INT(ROUND((Output!D305/12-INT(Output!D305/12))*12,3)),1/8)=0,"",VLOOKUP(MROUND((Output!D305/12-INT(Output!D305/12))*12-INT((Output!D305/12-INT(Output!D305/12))*12),1/8),fract[],2,FALSE))&amp;"''",""),"")</f>
        <v/>
      </c>
      <c r="E306" s="9" t="str">
        <f>IF(ISNUMBER(Output!E305),IF(Output!E305&gt;=12,IFERROR(ROUND(INT(Output!E305)/12,0)&amp;"'-"&amp;INT(ROUND((Output!E305/12-INT(Output!E305/12))*12,2))&amp;" "&amp;IF(MROUND(ROUND((Output!E305/12-INT(Output!E305/12))*12,3)-INT(ROUND((Output!E305/12-INT(Output!E305/12))*12,3)),1/8)=0,"",VLOOKUP(MROUND((Output!E305/12-INT(Output!E305/12))*12-INT((Output!E305/12-INT(Output!E305/12))*12),1/8),fract[],2,FALSE))&amp;"''",""),IFERROR(INT(Output!E305)&amp;" "&amp;IF(MROUND((Output!E305-INT(Output!E305)),1/8)=0,"",VLOOKUP(MROUND((Output!E305-INT(Output!E305)),1/8),fract[],2,FALSE))&amp;"''","")),"")</f>
        <v/>
      </c>
      <c r="F306" s="8"/>
      <c r="G306" s="8"/>
      <c r="H306" s="9" t="str">
        <f t="shared" si="8"/>
        <v/>
      </c>
      <c r="I306" s="9" t="str">
        <f t="shared" si="9"/>
        <v/>
      </c>
      <c r="J306" s="12" t="str">
        <f>IF(ISNUMBER(Output!F305),Output!F305,"")</f>
        <v/>
      </c>
      <c r="K306" s="12" t="str">
        <f>IF(ISNUMBER(Output!G305),Output!G305,"")</f>
        <v/>
      </c>
    </row>
    <row r="307" spans="1:11" x14ac:dyDescent="0.25">
      <c r="A307" s="9" t="str">
        <f>IF(ISBLANK(Output!A306),"",Output!A306)</f>
        <v/>
      </c>
      <c r="B307" s="9" t="str">
        <f>IF(ISBLANK(Output!B306),"",Output!B306)</f>
        <v/>
      </c>
      <c r="C307" s="9" t="str">
        <f>IF(ISNUMBER(Output!C306),IF(Output!C306&gt;=12,IFERROR(ROUND(INT(Output!C306)/12,0)&amp;"'-"&amp;INT(ROUND((Output!C306/12-INT(Output!C306/12))*12,2))&amp;" "&amp;IF(MROUND(ROUND((Output!C306/12-INT(Output!C306/12))*12,3)-INT(ROUND((Output!C306/12-INT(Output!C306/12))*12,3)),1/8)=0,"",VLOOKUP(MROUND((Output!C306/12-INT(Output!C306/12))*12-INT((Output!C306/12-INT(Output!C306/12))*12),1/8),fract[],2,FALSE))&amp;"''",""),IFERROR(INT(Output!C306)&amp;" "&amp;IF(MROUND((Output!C306-INT(Output!C306)),1/8)=0,"",VLOOKUP(MROUND((Output!C306-INT(Output!C306)),1/8),fract[],2,FALSE))&amp;"''","")),"")</f>
        <v/>
      </c>
      <c r="D307" s="9" t="str">
        <f>IF(ISNUMBER(Output!D306),IFERROR(ROUND(INT(Output!D306/12),3)&amp;"'-"&amp;INT(ROUND((Output!D306/12-INT(Output!D306/12))*12,3))&amp;" "&amp;IF(MROUND(ROUND((Output!D306/12-INT(Output!D306/12))*12,3)-INT(ROUND((Output!D306/12-INT(Output!D306/12))*12,3)),1/8)=0,"",VLOOKUP(MROUND((Output!D306/12-INT(Output!D306/12))*12-INT((Output!D306/12-INT(Output!D306/12))*12),1/8),fract[],2,FALSE))&amp;"''",""),"")</f>
        <v/>
      </c>
      <c r="E307" s="9" t="str">
        <f>IF(ISNUMBER(Output!E306),IF(Output!E306&gt;=12,IFERROR(ROUND(INT(Output!E306)/12,0)&amp;"'-"&amp;INT(ROUND((Output!E306/12-INT(Output!E306/12))*12,2))&amp;" "&amp;IF(MROUND(ROUND((Output!E306/12-INT(Output!E306/12))*12,3)-INT(ROUND((Output!E306/12-INT(Output!E306/12))*12,3)),1/8)=0,"",VLOOKUP(MROUND((Output!E306/12-INT(Output!E306/12))*12-INT((Output!E306/12-INT(Output!E306/12))*12),1/8),fract[],2,FALSE))&amp;"''",""),IFERROR(INT(Output!E306)&amp;" "&amp;IF(MROUND((Output!E306-INT(Output!E306)),1/8)=0,"",VLOOKUP(MROUND((Output!E306-INT(Output!E306)),1/8),fract[],2,FALSE))&amp;"''","")),"")</f>
        <v/>
      </c>
      <c r="F307" s="8"/>
      <c r="G307" s="8"/>
      <c r="H307" s="9" t="str">
        <f t="shared" si="8"/>
        <v/>
      </c>
      <c r="I307" s="9" t="str">
        <f t="shared" si="9"/>
        <v/>
      </c>
      <c r="J307" s="12" t="str">
        <f>IF(ISNUMBER(Output!F306),Output!F306,"")</f>
        <v/>
      </c>
      <c r="K307" s="12" t="str">
        <f>IF(ISNUMBER(Output!G306),Output!G306,"")</f>
        <v/>
      </c>
    </row>
    <row r="308" spans="1:11" x14ac:dyDescent="0.25">
      <c r="A308" s="9" t="str">
        <f>IF(ISBLANK(Output!A307),"",Output!A307)</f>
        <v/>
      </c>
      <c r="B308" s="9" t="str">
        <f>IF(ISBLANK(Output!B307),"",Output!B307)</f>
        <v/>
      </c>
      <c r="C308" s="9" t="str">
        <f>IF(ISNUMBER(Output!C307),IF(Output!C307&gt;=12,IFERROR(ROUND(INT(Output!C307)/12,0)&amp;"'-"&amp;INT(ROUND((Output!C307/12-INT(Output!C307/12))*12,2))&amp;" "&amp;IF(MROUND(ROUND((Output!C307/12-INT(Output!C307/12))*12,3)-INT(ROUND((Output!C307/12-INT(Output!C307/12))*12,3)),1/8)=0,"",VLOOKUP(MROUND((Output!C307/12-INT(Output!C307/12))*12-INT((Output!C307/12-INT(Output!C307/12))*12),1/8),fract[],2,FALSE))&amp;"''",""),IFERROR(INT(Output!C307)&amp;" "&amp;IF(MROUND((Output!C307-INT(Output!C307)),1/8)=0,"",VLOOKUP(MROUND((Output!C307-INT(Output!C307)),1/8),fract[],2,FALSE))&amp;"''","")),"")</f>
        <v/>
      </c>
      <c r="D308" s="9" t="str">
        <f>IF(ISNUMBER(Output!D307),IFERROR(ROUND(INT(Output!D307/12),3)&amp;"'-"&amp;INT(ROUND((Output!D307/12-INT(Output!D307/12))*12,3))&amp;" "&amp;IF(MROUND(ROUND((Output!D307/12-INT(Output!D307/12))*12,3)-INT(ROUND((Output!D307/12-INT(Output!D307/12))*12,3)),1/8)=0,"",VLOOKUP(MROUND((Output!D307/12-INT(Output!D307/12))*12-INT((Output!D307/12-INT(Output!D307/12))*12),1/8),fract[],2,FALSE))&amp;"''",""),"")</f>
        <v/>
      </c>
      <c r="E308" s="9" t="str">
        <f>IF(ISNUMBER(Output!E307),IF(Output!E307&gt;=12,IFERROR(ROUND(INT(Output!E307)/12,0)&amp;"'-"&amp;INT(ROUND((Output!E307/12-INT(Output!E307/12))*12,2))&amp;" "&amp;IF(MROUND(ROUND((Output!E307/12-INT(Output!E307/12))*12,3)-INT(ROUND((Output!E307/12-INT(Output!E307/12))*12,3)),1/8)=0,"",VLOOKUP(MROUND((Output!E307/12-INT(Output!E307/12))*12-INT((Output!E307/12-INT(Output!E307/12))*12),1/8),fract[],2,FALSE))&amp;"''",""),IFERROR(INT(Output!E307)&amp;" "&amp;IF(MROUND((Output!E307-INT(Output!E307)),1/8)=0,"",VLOOKUP(MROUND((Output!E307-INT(Output!E307)),1/8),fract[],2,FALSE))&amp;"''","")),"")</f>
        <v/>
      </c>
      <c r="F308" s="8"/>
      <c r="G308" s="8"/>
      <c r="H308" s="9" t="str">
        <f t="shared" si="8"/>
        <v/>
      </c>
      <c r="I308" s="9" t="str">
        <f t="shared" si="9"/>
        <v/>
      </c>
      <c r="J308" s="12" t="str">
        <f>IF(ISNUMBER(Output!F307),Output!F307,"")</f>
        <v/>
      </c>
      <c r="K308" s="12" t="str">
        <f>IF(ISNUMBER(Output!G307),Output!G307,"")</f>
        <v/>
      </c>
    </row>
    <row r="309" spans="1:11" x14ac:dyDescent="0.25">
      <c r="A309" s="9" t="str">
        <f>IF(ISBLANK(Output!A308),"",Output!A308)</f>
        <v/>
      </c>
      <c r="B309" s="9" t="str">
        <f>IF(ISBLANK(Output!B308),"",Output!B308)</f>
        <v/>
      </c>
      <c r="C309" s="9" t="str">
        <f>IF(ISNUMBER(Output!C308),IF(Output!C308&gt;=12,IFERROR(ROUND(INT(Output!C308)/12,0)&amp;"'-"&amp;INT(ROUND((Output!C308/12-INT(Output!C308/12))*12,2))&amp;" "&amp;IF(MROUND(ROUND((Output!C308/12-INT(Output!C308/12))*12,3)-INT(ROUND((Output!C308/12-INT(Output!C308/12))*12,3)),1/8)=0,"",VLOOKUP(MROUND((Output!C308/12-INT(Output!C308/12))*12-INT((Output!C308/12-INT(Output!C308/12))*12),1/8),fract[],2,FALSE))&amp;"''",""),IFERROR(INT(Output!C308)&amp;" "&amp;IF(MROUND((Output!C308-INT(Output!C308)),1/8)=0,"",VLOOKUP(MROUND((Output!C308-INT(Output!C308)),1/8),fract[],2,FALSE))&amp;"''","")),"")</f>
        <v/>
      </c>
      <c r="D309" s="9" t="str">
        <f>IF(ISNUMBER(Output!D308),IFERROR(ROUND(INT(Output!D308/12),3)&amp;"'-"&amp;INT(ROUND((Output!D308/12-INT(Output!D308/12))*12,3))&amp;" "&amp;IF(MROUND(ROUND((Output!D308/12-INT(Output!D308/12))*12,3)-INT(ROUND((Output!D308/12-INT(Output!D308/12))*12,3)),1/8)=0,"",VLOOKUP(MROUND((Output!D308/12-INT(Output!D308/12))*12-INT((Output!D308/12-INT(Output!D308/12))*12),1/8),fract[],2,FALSE))&amp;"''",""),"")</f>
        <v/>
      </c>
      <c r="E309" s="9" t="str">
        <f>IF(ISNUMBER(Output!E308),IF(Output!E308&gt;=12,IFERROR(ROUND(INT(Output!E308)/12,0)&amp;"'-"&amp;INT(ROUND((Output!E308/12-INT(Output!E308/12))*12,2))&amp;" "&amp;IF(MROUND(ROUND((Output!E308/12-INT(Output!E308/12))*12,3)-INT(ROUND((Output!E308/12-INT(Output!E308/12))*12,3)),1/8)=0,"",VLOOKUP(MROUND((Output!E308/12-INT(Output!E308/12))*12-INT((Output!E308/12-INT(Output!E308/12))*12),1/8),fract[],2,FALSE))&amp;"''",""),IFERROR(INT(Output!E308)&amp;" "&amp;IF(MROUND((Output!E308-INT(Output!E308)),1/8)=0,"",VLOOKUP(MROUND((Output!E308-INT(Output!E308)),1/8),fract[],2,FALSE))&amp;"''","")),"")</f>
        <v/>
      </c>
      <c r="F309" s="8"/>
      <c r="G309" s="8"/>
      <c r="H309" s="9" t="str">
        <f t="shared" si="8"/>
        <v/>
      </c>
      <c r="I309" s="9" t="str">
        <f t="shared" si="9"/>
        <v/>
      </c>
      <c r="J309" s="12" t="str">
        <f>IF(ISNUMBER(Output!F308),Output!F308,"")</f>
        <v/>
      </c>
      <c r="K309" s="12" t="str">
        <f>IF(ISNUMBER(Output!G308),Output!G308,"")</f>
        <v/>
      </c>
    </row>
    <row r="310" spans="1:11" x14ac:dyDescent="0.25">
      <c r="A310" s="9" t="str">
        <f>IF(ISBLANK(Output!A309),"",Output!A309)</f>
        <v/>
      </c>
      <c r="B310" s="9" t="str">
        <f>IF(ISBLANK(Output!B309),"",Output!B309)</f>
        <v/>
      </c>
      <c r="C310" s="9" t="str">
        <f>IF(ISNUMBER(Output!C309),IF(Output!C309&gt;=12,IFERROR(ROUND(INT(Output!C309)/12,0)&amp;"'-"&amp;INT(ROUND((Output!C309/12-INT(Output!C309/12))*12,2))&amp;" "&amp;IF(MROUND(ROUND((Output!C309/12-INT(Output!C309/12))*12,3)-INT(ROUND((Output!C309/12-INT(Output!C309/12))*12,3)),1/8)=0,"",VLOOKUP(MROUND((Output!C309/12-INT(Output!C309/12))*12-INT((Output!C309/12-INT(Output!C309/12))*12),1/8),fract[],2,FALSE))&amp;"''",""),IFERROR(INT(Output!C309)&amp;" "&amp;IF(MROUND((Output!C309-INT(Output!C309)),1/8)=0,"",VLOOKUP(MROUND((Output!C309-INT(Output!C309)),1/8),fract[],2,FALSE))&amp;"''","")),"")</f>
        <v/>
      </c>
      <c r="D310" s="9" t="str">
        <f>IF(ISNUMBER(Output!D309),IFERROR(ROUND(INT(Output!D309/12),3)&amp;"'-"&amp;INT(ROUND((Output!D309/12-INT(Output!D309/12))*12,3))&amp;" "&amp;IF(MROUND(ROUND((Output!D309/12-INT(Output!D309/12))*12,3)-INT(ROUND((Output!D309/12-INT(Output!D309/12))*12,3)),1/8)=0,"",VLOOKUP(MROUND((Output!D309/12-INT(Output!D309/12))*12-INT((Output!D309/12-INT(Output!D309/12))*12),1/8),fract[],2,FALSE))&amp;"''",""),"")</f>
        <v/>
      </c>
      <c r="E310" s="9" t="str">
        <f>IF(ISNUMBER(Output!E309),IF(Output!E309&gt;=12,IFERROR(ROUND(INT(Output!E309)/12,0)&amp;"'-"&amp;INT(ROUND((Output!E309/12-INT(Output!E309/12))*12,2))&amp;" "&amp;IF(MROUND(ROUND((Output!E309/12-INT(Output!E309/12))*12,3)-INT(ROUND((Output!E309/12-INT(Output!E309/12))*12,3)),1/8)=0,"",VLOOKUP(MROUND((Output!E309/12-INT(Output!E309/12))*12-INT((Output!E309/12-INT(Output!E309/12))*12),1/8),fract[],2,FALSE))&amp;"''",""),IFERROR(INT(Output!E309)&amp;" "&amp;IF(MROUND((Output!E309-INT(Output!E309)),1/8)=0,"",VLOOKUP(MROUND((Output!E309-INT(Output!E309)),1/8),fract[],2,FALSE))&amp;"''","")),"")</f>
        <v/>
      </c>
      <c r="F310" s="8"/>
      <c r="G310" s="8"/>
      <c r="H310" s="9" t="str">
        <f t="shared" si="8"/>
        <v/>
      </c>
      <c r="I310" s="9" t="str">
        <f t="shared" si="9"/>
        <v/>
      </c>
      <c r="J310" s="12" t="str">
        <f>IF(ISNUMBER(Output!F309),Output!F309,"")</f>
        <v/>
      </c>
      <c r="K310" s="12" t="str">
        <f>IF(ISNUMBER(Output!G309),Output!G309,"")</f>
        <v/>
      </c>
    </row>
    <row r="311" spans="1:11" x14ac:dyDescent="0.25">
      <c r="A311" s="9" t="str">
        <f>IF(ISBLANK(Output!A310),"",Output!A310)</f>
        <v/>
      </c>
      <c r="B311" s="9" t="str">
        <f>IF(ISBLANK(Output!B310),"",Output!B310)</f>
        <v/>
      </c>
      <c r="C311" s="9" t="str">
        <f>IF(ISNUMBER(Output!C310),IF(Output!C310&gt;=12,IFERROR(ROUND(INT(Output!C310)/12,0)&amp;"'-"&amp;INT(ROUND((Output!C310/12-INT(Output!C310/12))*12,2))&amp;" "&amp;IF(MROUND(ROUND((Output!C310/12-INT(Output!C310/12))*12,3)-INT(ROUND((Output!C310/12-INT(Output!C310/12))*12,3)),1/8)=0,"",VLOOKUP(MROUND((Output!C310/12-INT(Output!C310/12))*12-INT((Output!C310/12-INT(Output!C310/12))*12),1/8),fract[],2,FALSE))&amp;"''",""),IFERROR(INT(Output!C310)&amp;" "&amp;IF(MROUND((Output!C310-INT(Output!C310)),1/8)=0,"",VLOOKUP(MROUND((Output!C310-INT(Output!C310)),1/8),fract[],2,FALSE))&amp;"''","")),"")</f>
        <v/>
      </c>
      <c r="D311" s="9" t="str">
        <f>IF(ISNUMBER(Output!D310),IFERROR(ROUND(INT(Output!D310/12),3)&amp;"'-"&amp;INT(ROUND((Output!D310/12-INT(Output!D310/12))*12,3))&amp;" "&amp;IF(MROUND(ROUND((Output!D310/12-INT(Output!D310/12))*12,3)-INT(ROUND((Output!D310/12-INT(Output!D310/12))*12,3)),1/8)=0,"",VLOOKUP(MROUND((Output!D310/12-INT(Output!D310/12))*12-INT((Output!D310/12-INT(Output!D310/12))*12),1/8),fract[],2,FALSE))&amp;"''",""),"")</f>
        <v/>
      </c>
      <c r="E311" s="9" t="str">
        <f>IF(ISNUMBER(Output!E310),IF(Output!E310&gt;=12,IFERROR(ROUND(INT(Output!E310)/12,0)&amp;"'-"&amp;INT(ROUND((Output!E310/12-INT(Output!E310/12))*12,2))&amp;" "&amp;IF(MROUND(ROUND((Output!E310/12-INT(Output!E310/12))*12,3)-INT(ROUND((Output!E310/12-INT(Output!E310/12))*12,3)),1/8)=0,"",VLOOKUP(MROUND((Output!E310/12-INT(Output!E310/12))*12-INT((Output!E310/12-INT(Output!E310/12))*12),1/8),fract[],2,FALSE))&amp;"''",""),IFERROR(INT(Output!E310)&amp;" "&amp;IF(MROUND((Output!E310-INT(Output!E310)),1/8)=0,"",VLOOKUP(MROUND((Output!E310-INT(Output!E310)),1/8),fract[],2,FALSE))&amp;"''","")),"")</f>
        <v/>
      </c>
      <c r="F311" s="8"/>
      <c r="G311" s="8"/>
      <c r="H311" s="9" t="str">
        <f t="shared" si="8"/>
        <v/>
      </c>
      <c r="I311" s="9" t="str">
        <f t="shared" si="9"/>
        <v/>
      </c>
      <c r="J311" s="12" t="str">
        <f>IF(ISNUMBER(Output!F310),Output!F310,"")</f>
        <v/>
      </c>
      <c r="K311" s="12" t="str">
        <f>IF(ISNUMBER(Output!G310),Output!G310,"")</f>
        <v/>
      </c>
    </row>
    <row r="312" spans="1:11" x14ac:dyDescent="0.25">
      <c r="A312" s="9" t="str">
        <f>IF(ISBLANK(Output!A311),"",Output!A311)</f>
        <v/>
      </c>
      <c r="B312" s="9" t="str">
        <f>IF(ISBLANK(Output!B311),"",Output!B311)</f>
        <v/>
      </c>
      <c r="C312" s="9" t="str">
        <f>IF(ISNUMBER(Output!C311),IF(Output!C311&gt;=12,IFERROR(ROUND(INT(Output!C311)/12,0)&amp;"'-"&amp;INT(ROUND((Output!C311/12-INT(Output!C311/12))*12,2))&amp;" "&amp;IF(MROUND(ROUND((Output!C311/12-INT(Output!C311/12))*12,3)-INT(ROUND((Output!C311/12-INT(Output!C311/12))*12,3)),1/8)=0,"",VLOOKUP(MROUND((Output!C311/12-INT(Output!C311/12))*12-INT((Output!C311/12-INT(Output!C311/12))*12),1/8),fract[],2,FALSE))&amp;"''",""),IFERROR(INT(Output!C311)&amp;" "&amp;IF(MROUND((Output!C311-INT(Output!C311)),1/8)=0,"",VLOOKUP(MROUND((Output!C311-INT(Output!C311)),1/8),fract[],2,FALSE))&amp;"''","")),"")</f>
        <v/>
      </c>
      <c r="D312" s="9" t="str">
        <f>IF(ISNUMBER(Output!D311),IFERROR(ROUND(INT(Output!D311/12),3)&amp;"'-"&amp;INT(ROUND((Output!D311/12-INT(Output!D311/12))*12,3))&amp;" "&amp;IF(MROUND(ROUND((Output!D311/12-INT(Output!D311/12))*12,3)-INT(ROUND((Output!D311/12-INT(Output!D311/12))*12,3)),1/8)=0,"",VLOOKUP(MROUND((Output!D311/12-INT(Output!D311/12))*12-INT((Output!D311/12-INT(Output!D311/12))*12),1/8),fract[],2,FALSE))&amp;"''",""),"")</f>
        <v/>
      </c>
      <c r="E312" s="9" t="str">
        <f>IF(ISNUMBER(Output!E311),IF(Output!E311&gt;=12,IFERROR(ROUND(INT(Output!E311)/12,0)&amp;"'-"&amp;INT(ROUND((Output!E311/12-INT(Output!E311/12))*12,2))&amp;" "&amp;IF(MROUND(ROUND((Output!E311/12-INT(Output!E311/12))*12,3)-INT(ROUND((Output!E311/12-INT(Output!E311/12))*12,3)),1/8)=0,"",VLOOKUP(MROUND((Output!E311/12-INT(Output!E311/12))*12-INT((Output!E311/12-INT(Output!E311/12))*12),1/8),fract[],2,FALSE))&amp;"''",""),IFERROR(INT(Output!E311)&amp;" "&amp;IF(MROUND((Output!E311-INT(Output!E311)),1/8)=0,"",VLOOKUP(MROUND((Output!E311-INT(Output!E311)),1/8),fract[],2,FALSE))&amp;"''","")),"")</f>
        <v/>
      </c>
      <c r="F312" s="8"/>
      <c r="G312" s="8"/>
      <c r="H312" s="9" t="str">
        <f t="shared" si="8"/>
        <v/>
      </c>
      <c r="I312" s="9" t="str">
        <f t="shared" si="9"/>
        <v/>
      </c>
      <c r="J312" s="12" t="str">
        <f>IF(ISNUMBER(Output!F311),Output!F311,"")</f>
        <v/>
      </c>
      <c r="K312" s="12" t="str">
        <f>IF(ISNUMBER(Output!G311),Output!G311,"")</f>
        <v/>
      </c>
    </row>
    <row r="313" spans="1:11" x14ac:dyDescent="0.25">
      <c r="A313" s="9" t="str">
        <f>IF(ISBLANK(Output!A312),"",Output!A312)</f>
        <v/>
      </c>
      <c r="B313" s="9" t="str">
        <f>IF(ISBLANK(Output!B312),"",Output!B312)</f>
        <v/>
      </c>
      <c r="C313" s="9" t="str">
        <f>IF(ISNUMBER(Output!C312),IF(Output!C312&gt;=12,IFERROR(ROUND(INT(Output!C312)/12,0)&amp;"'-"&amp;INT(ROUND((Output!C312/12-INT(Output!C312/12))*12,2))&amp;" "&amp;IF(MROUND(ROUND((Output!C312/12-INT(Output!C312/12))*12,3)-INT(ROUND((Output!C312/12-INT(Output!C312/12))*12,3)),1/8)=0,"",VLOOKUP(MROUND((Output!C312/12-INT(Output!C312/12))*12-INT((Output!C312/12-INT(Output!C312/12))*12),1/8),fract[],2,FALSE))&amp;"''",""),IFERROR(INT(Output!C312)&amp;" "&amp;IF(MROUND((Output!C312-INT(Output!C312)),1/8)=0,"",VLOOKUP(MROUND((Output!C312-INT(Output!C312)),1/8),fract[],2,FALSE))&amp;"''","")),"")</f>
        <v/>
      </c>
      <c r="D313" s="9" t="str">
        <f>IF(ISNUMBER(Output!D312),IFERROR(ROUND(INT(Output!D312/12),3)&amp;"'-"&amp;INT(ROUND((Output!D312/12-INT(Output!D312/12))*12,3))&amp;" "&amp;IF(MROUND(ROUND((Output!D312/12-INT(Output!D312/12))*12,3)-INT(ROUND((Output!D312/12-INT(Output!D312/12))*12,3)),1/8)=0,"",VLOOKUP(MROUND((Output!D312/12-INT(Output!D312/12))*12-INT((Output!D312/12-INT(Output!D312/12))*12),1/8),fract[],2,FALSE))&amp;"''",""),"")</f>
        <v/>
      </c>
      <c r="E313" s="9" t="str">
        <f>IF(ISNUMBER(Output!E312),IF(Output!E312&gt;=12,IFERROR(ROUND(INT(Output!E312)/12,0)&amp;"'-"&amp;INT(ROUND((Output!E312/12-INT(Output!E312/12))*12,2))&amp;" "&amp;IF(MROUND(ROUND((Output!E312/12-INT(Output!E312/12))*12,3)-INT(ROUND((Output!E312/12-INT(Output!E312/12))*12,3)),1/8)=0,"",VLOOKUP(MROUND((Output!E312/12-INT(Output!E312/12))*12-INT((Output!E312/12-INT(Output!E312/12))*12),1/8),fract[],2,FALSE))&amp;"''",""),IFERROR(INT(Output!E312)&amp;" "&amp;IF(MROUND((Output!E312-INT(Output!E312)),1/8)=0,"",VLOOKUP(MROUND((Output!E312-INT(Output!E312)),1/8),fract[],2,FALSE))&amp;"''","")),"")</f>
        <v/>
      </c>
      <c r="F313" s="8"/>
      <c r="G313" s="8"/>
      <c r="H313" s="9" t="str">
        <f t="shared" si="8"/>
        <v/>
      </c>
      <c r="I313" s="9" t="str">
        <f t="shared" si="9"/>
        <v/>
      </c>
      <c r="J313" s="12" t="str">
        <f>IF(ISNUMBER(Output!F312),Output!F312,"")</f>
        <v/>
      </c>
      <c r="K313" s="12" t="str">
        <f>IF(ISNUMBER(Output!G312),Output!G312,"")</f>
        <v/>
      </c>
    </row>
    <row r="314" spans="1:11" x14ac:dyDescent="0.25">
      <c r="A314" s="9" t="str">
        <f>IF(ISBLANK(Output!A313),"",Output!A313)</f>
        <v/>
      </c>
      <c r="B314" s="9" t="str">
        <f>IF(ISBLANK(Output!B313),"",Output!B313)</f>
        <v/>
      </c>
      <c r="C314" s="9" t="str">
        <f>IF(ISNUMBER(Output!C313),IF(Output!C313&gt;=12,IFERROR(ROUND(INT(Output!C313)/12,0)&amp;"'-"&amp;INT(ROUND((Output!C313/12-INT(Output!C313/12))*12,2))&amp;" "&amp;IF(MROUND(ROUND((Output!C313/12-INT(Output!C313/12))*12,3)-INT(ROUND((Output!C313/12-INT(Output!C313/12))*12,3)),1/8)=0,"",VLOOKUP(MROUND((Output!C313/12-INT(Output!C313/12))*12-INT((Output!C313/12-INT(Output!C313/12))*12),1/8),fract[],2,FALSE))&amp;"''",""),IFERROR(INT(Output!C313)&amp;" "&amp;IF(MROUND((Output!C313-INT(Output!C313)),1/8)=0,"",VLOOKUP(MROUND((Output!C313-INT(Output!C313)),1/8),fract[],2,FALSE))&amp;"''","")),"")</f>
        <v/>
      </c>
      <c r="D314" s="9" t="str">
        <f>IF(ISNUMBER(Output!D313),IFERROR(ROUND(INT(Output!D313/12),3)&amp;"'-"&amp;INT(ROUND((Output!D313/12-INT(Output!D313/12))*12,3))&amp;" "&amp;IF(MROUND(ROUND((Output!D313/12-INT(Output!D313/12))*12,3)-INT(ROUND((Output!D313/12-INT(Output!D313/12))*12,3)),1/8)=0,"",VLOOKUP(MROUND((Output!D313/12-INT(Output!D313/12))*12-INT((Output!D313/12-INT(Output!D313/12))*12),1/8),fract[],2,FALSE))&amp;"''",""),"")</f>
        <v/>
      </c>
      <c r="E314" s="9" t="str">
        <f>IF(ISNUMBER(Output!E313),IF(Output!E313&gt;=12,IFERROR(ROUND(INT(Output!E313)/12,0)&amp;"'-"&amp;INT(ROUND((Output!E313/12-INT(Output!E313/12))*12,2))&amp;" "&amp;IF(MROUND(ROUND((Output!E313/12-INT(Output!E313/12))*12,3)-INT(ROUND((Output!E313/12-INT(Output!E313/12))*12,3)),1/8)=0,"",VLOOKUP(MROUND((Output!E313/12-INT(Output!E313/12))*12-INT((Output!E313/12-INT(Output!E313/12))*12),1/8),fract[],2,FALSE))&amp;"''",""),IFERROR(INT(Output!E313)&amp;" "&amp;IF(MROUND((Output!E313-INT(Output!E313)),1/8)=0,"",VLOOKUP(MROUND((Output!E313-INT(Output!E313)),1/8),fract[],2,FALSE))&amp;"''","")),"")</f>
        <v/>
      </c>
      <c r="F314" s="8"/>
      <c r="G314" s="8"/>
      <c r="H314" s="9" t="str">
        <f t="shared" si="8"/>
        <v/>
      </c>
      <c r="I314" s="9" t="str">
        <f t="shared" si="9"/>
        <v/>
      </c>
      <c r="J314" s="12" t="str">
        <f>IF(ISNUMBER(Output!F313),Output!F313,"")</f>
        <v/>
      </c>
      <c r="K314" s="12" t="str">
        <f>IF(ISNUMBER(Output!G313),Output!G313,"")</f>
        <v/>
      </c>
    </row>
    <row r="315" spans="1:11" x14ac:dyDescent="0.25">
      <c r="A315" s="9" t="str">
        <f>IF(ISBLANK(Output!A314),"",Output!A314)</f>
        <v/>
      </c>
      <c r="B315" s="9" t="str">
        <f>IF(ISBLANK(Output!B314),"",Output!B314)</f>
        <v/>
      </c>
      <c r="C315" s="9" t="str">
        <f>IF(ISNUMBER(Output!C314),IF(Output!C314&gt;=12,IFERROR(ROUND(INT(Output!C314)/12,0)&amp;"'-"&amp;INT(ROUND((Output!C314/12-INT(Output!C314/12))*12,2))&amp;" "&amp;IF(MROUND(ROUND((Output!C314/12-INT(Output!C314/12))*12,3)-INT(ROUND((Output!C314/12-INT(Output!C314/12))*12,3)),1/8)=0,"",VLOOKUP(MROUND((Output!C314/12-INT(Output!C314/12))*12-INT((Output!C314/12-INT(Output!C314/12))*12),1/8),fract[],2,FALSE))&amp;"''",""),IFERROR(INT(Output!C314)&amp;" "&amp;IF(MROUND((Output!C314-INT(Output!C314)),1/8)=0,"",VLOOKUP(MROUND((Output!C314-INT(Output!C314)),1/8),fract[],2,FALSE))&amp;"''","")),"")</f>
        <v/>
      </c>
      <c r="D315" s="9" t="str">
        <f>IF(ISNUMBER(Output!D314),IFERROR(ROUND(INT(Output!D314/12),3)&amp;"'-"&amp;INT(ROUND((Output!D314/12-INT(Output!D314/12))*12,3))&amp;" "&amp;IF(MROUND(ROUND((Output!D314/12-INT(Output!D314/12))*12,3)-INT(ROUND((Output!D314/12-INT(Output!D314/12))*12,3)),1/8)=0,"",VLOOKUP(MROUND((Output!D314/12-INT(Output!D314/12))*12-INT((Output!D314/12-INT(Output!D314/12))*12),1/8),fract[],2,FALSE))&amp;"''",""),"")</f>
        <v/>
      </c>
      <c r="E315" s="9" t="str">
        <f>IF(ISNUMBER(Output!E314),IF(Output!E314&gt;=12,IFERROR(ROUND(INT(Output!E314)/12,0)&amp;"'-"&amp;INT(ROUND((Output!E314/12-INT(Output!E314/12))*12,2))&amp;" "&amp;IF(MROUND(ROUND((Output!E314/12-INT(Output!E314/12))*12,3)-INT(ROUND((Output!E314/12-INT(Output!E314/12))*12,3)),1/8)=0,"",VLOOKUP(MROUND((Output!E314/12-INT(Output!E314/12))*12-INT((Output!E314/12-INT(Output!E314/12))*12),1/8),fract[],2,FALSE))&amp;"''",""),IFERROR(INT(Output!E314)&amp;" "&amp;IF(MROUND((Output!E314-INT(Output!E314)),1/8)=0,"",VLOOKUP(MROUND((Output!E314-INT(Output!E314)),1/8),fract[],2,FALSE))&amp;"''","")),"")</f>
        <v/>
      </c>
      <c r="F315" s="8"/>
      <c r="G315" s="8"/>
      <c r="H315" s="9" t="str">
        <f t="shared" si="8"/>
        <v/>
      </c>
      <c r="I315" s="9" t="str">
        <f t="shared" si="9"/>
        <v/>
      </c>
      <c r="J315" s="12" t="str">
        <f>IF(ISNUMBER(Output!F314),Output!F314,"")</f>
        <v/>
      </c>
      <c r="K315" s="12" t="str">
        <f>IF(ISNUMBER(Output!G314),Output!G314,"")</f>
        <v/>
      </c>
    </row>
    <row r="316" spans="1:11" x14ac:dyDescent="0.25">
      <c r="A316" s="9" t="str">
        <f>IF(ISBLANK(Output!A315),"",Output!A315)</f>
        <v/>
      </c>
      <c r="B316" s="9" t="str">
        <f>IF(ISBLANK(Output!B315),"",Output!B315)</f>
        <v/>
      </c>
      <c r="C316" s="9" t="str">
        <f>IF(ISNUMBER(Output!C315),IF(Output!C315&gt;=12,IFERROR(ROUND(INT(Output!C315)/12,0)&amp;"'-"&amp;INT(ROUND((Output!C315/12-INT(Output!C315/12))*12,2))&amp;" "&amp;IF(MROUND(ROUND((Output!C315/12-INT(Output!C315/12))*12,3)-INT(ROUND((Output!C315/12-INT(Output!C315/12))*12,3)),1/8)=0,"",VLOOKUP(MROUND((Output!C315/12-INT(Output!C315/12))*12-INT((Output!C315/12-INT(Output!C315/12))*12),1/8),fract[],2,FALSE))&amp;"''",""),IFERROR(INT(Output!C315)&amp;" "&amp;IF(MROUND((Output!C315-INT(Output!C315)),1/8)=0,"",VLOOKUP(MROUND((Output!C315-INT(Output!C315)),1/8),fract[],2,FALSE))&amp;"''","")),"")</f>
        <v/>
      </c>
      <c r="D316" s="9" t="str">
        <f>IF(ISNUMBER(Output!D315),IFERROR(ROUND(INT(Output!D315/12),3)&amp;"'-"&amp;INT(ROUND((Output!D315/12-INT(Output!D315/12))*12,3))&amp;" "&amp;IF(MROUND(ROUND((Output!D315/12-INT(Output!D315/12))*12,3)-INT(ROUND((Output!D315/12-INT(Output!D315/12))*12,3)),1/8)=0,"",VLOOKUP(MROUND((Output!D315/12-INT(Output!D315/12))*12-INT((Output!D315/12-INT(Output!D315/12))*12),1/8),fract[],2,FALSE))&amp;"''",""),"")</f>
        <v/>
      </c>
      <c r="E316" s="9" t="str">
        <f>IF(ISNUMBER(Output!E315),IF(Output!E315&gt;=12,IFERROR(ROUND(INT(Output!E315)/12,0)&amp;"'-"&amp;INT(ROUND((Output!E315/12-INT(Output!E315/12))*12,2))&amp;" "&amp;IF(MROUND(ROUND((Output!E315/12-INT(Output!E315/12))*12,3)-INT(ROUND((Output!E315/12-INT(Output!E315/12))*12,3)),1/8)=0,"",VLOOKUP(MROUND((Output!E315/12-INT(Output!E315/12))*12-INT((Output!E315/12-INT(Output!E315/12))*12),1/8),fract[],2,FALSE))&amp;"''",""),IFERROR(INT(Output!E315)&amp;" "&amp;IF(MROUND((Output!E315-INT(Output!E315)),1/8)=0,"",VLOOKUP(MROUND((Output!E315-INT(Output!E315)),1/8),fract[],2,FALSE))&amp;"''","")),"")</f>
        <v/>
      </c>
      <c r="F316" s="8"/>
      <c r="G316" s="8"/>
      <c r="H316" s="9" t="str">
        <f t="shared" si="8"/>
        <v/>
      </c>
      <c r="I316" s="9" t="str">
        <f t="shared" si="9"/>
        <v/>
      </c>
      <c r="J316" s="12" t="str">
        <f>IF(ISNUMBER(Output!F315),Output!F315,"")</f>
        <v/>
      </c>
      <c r="K316" s="12" t="str">
        <f>IF(ISNUMBER(Output!G315),Output!G315,"")</f>
        <v/>
      </c>
    </row>
    <row r="317" spans="1:11" x14ac:dyDescent="0.25">
      <c r="A317" s="9" t="str">
        <f>IF(ISBLANK(Output!A316),"",Output!A316)</f>
        <v/>
      </c>
      <c r="B317" s="9" t="str">
        <f>IF(ISBLANK(Output!B316),"",Output!B316)</f>
        <v/>
      </c>
      <c r="C317" s="9" t="str">
        <f>IF(ISNUMBER(Output!C316),IF(Output!C316&gt;=12,IFERROR(ROUND(INT(Output!C316)/12,0)&amp;"'-"&amp;INT(ROUND((Output!C316/12-INT(Output!C316/12))*12,2))&amp;" "&amp;IF(MROUND(ROUND((Output!C316/12-INT(Output!C316/12))*12,3)-INT(ROUND((Output!C316/12-INT(Output!C316/12))*12,3)),1/8)=0,"",VLOOKUP(MROUND((Output!C316/12-INT(Output!C316/12))*12-INT((Output!C316/12-INT(Output!C316/12))*12),1/8),fract[],2,FALSE))&amp;"''",""),IFERROR(INT(Output!C316)&amp;" "&amp;IF(MROUND((Output!C316-INT(Output!C316)),1/8)=0,"",VLOOKUP(MROUND((Output!C316-INT(Output!C316)),1/8),fract[],2,FALSE))&amp;"''","")),"")</f>
        <v/>
      </c>
      <c r="D317" s="9" t="str">
        <f>IF(ISNUMBER(Output!D316),IFERROR(ROUND(INT(Output!D316/12),3)&amp;"'-"&amp;INT(ROUND((Output!D316/12-INT(Output!D316/12))*12,3))&amp;" "&amp;IF(MROUND(ROUND((Output!D316/12-INT(Output!D316/12))*12,3)-INT(ROUND((Output!D316/12-INT(Output!D316/12))*12,3)),1/8)=0,"",VLOOKUP(MROUND((Output!D316/12-INT(Output!D316/12))*12-INT((Output!D316/12-INT(Output!D316/12))*12),1/8),fract[],2,FALSE))&amp;"''",""),"")</f>
        <v/>
      </c>
      <c r="E317" s="9" t="str">
        <f>IF(ISNUMBER(Output!E316),IF(Output!E316&gt;=12,IFERROR(ROUND(INT(Output!E316)/12,0)&amp;"'-"&amp;INT(ROUND((Output!E316/12-INT(Output!E316/12))*12,2))&amp;" "&amp;IF(MROUND(ROUND((Output!E316/12-INT(Output!E316/12))*12,3)-INT(ROUND((Output!E316/12-INT(Output!E316/12))*12,3)),1/8)=0,"",VLOOKUP(MROUND((Output!E316/12-INT(Output!E316/12))*12-INT((Output!E316/12-INT(Output!E316/12))*12),1/8),fract[],2,FALSE))&amp;"''",""),IFERROR(INT(Output!E316)&amp;" "&amp;IF(MROUND((Output!E316-INT(Output!E316)),1/8)=0,"",VLOOKUP(MROUND((Output!E316-INT(Output!E316)),1/8),fract[],2,FALSE))&amp;"''","")),"")</f>
        <v/>
      </c>
      <c r="F317" s="8"/>
      <c r="G317" s="8"/>
      <c r="H317" s="9" t="str">
        <f t="shared" si="8"/>
        <v/>
      </c>
      <c r="I317" s="9" t="str">
        <f t="shared" si="9"/>
        <v/>
      </c>
      <c r="J317" s="12" t="str">
        <f>IF(ISNUMBER(Output!F316),Output!F316,"")</f>
        <v/>
      </c>
      <c r="K317" s="12" t="str">
        <f>IF(ISNUMBER(Output!G316),Output!G316,"")</f>
        <v/>
      </c>
    </row>
    <row r="318" spans="1:11" x14ac:dyDescent="0.25">
      <c r="A318" s="9" t="str">
        <f>IF(ISBLANK(Output!A317),"",Output!A317)</f>
        <v/>
      </c>
      <c r="B318" s="9" t="str">
        <f>IF(ISBLANK(Output!B317),"",Output!B317)</f>
        <v/>
      </c>
      <c r="C318" s="9" t="str">
        <f>IF(ISNUMBER(Output!C317),IF(Output!C317&gt;=12,IFERROR(ROUND(INT(Output!C317)/12,0)&amp;"'-"&amp;INT(ROUND((Output!C317/12-INT(Output!C317/12))*12,2))&amp;" "&amp;IF(MROUND(ROUND((Output!C317/12-INT(Output!C317/12))*12,3)-INT(ROUND((Output!C317/12-INT(Output!C317/12))*12,3)),1/8)=0,"",VLOOKUP(MROUND((Output!C317/12-INT(Output!C317/12))*12-INT((Output!C317/12-INT(Output!C317/12))*12),1/8),fract[],2,FALSE))&amp;"''",""),IFERROR(INT(Output!C317)&amp;" "&amp;IF(MROUND((Output!C317-INT(Output!C317)),1/8)=0,"",VLOOKUP(MROUND((Output!C317-INT(Output!C317)),1/8),fract[],2,FALSE))&amp;"''","")),"")</f>
        <v/>
      </c>
      <c r="D318" s="9" t="str">
        <f>IF(ISNUMBER(Output!D317),IFERROR(ROUND(INT(Output!D317/12),3)&amp;"'-"&amp;INT(ROUND((Output!D317/12-INT(Output!D317/12))*12,3))&amp;" "&amp;IF(MROUND(ROUND((Output!D317/12-INT(Output!D317/12))*12,3)-INT(ROUND((Output!D317/12-INT(Output!D317/12))*12,3)),1/8)=0,"",VLOOKUP(MROUND((Output!D317/12-INT(Output!D317/12))*12-INT((Output!D317/12-INT(Output!D317/12))*12),1/8),fract[],2,FALSE))&amp;"''",""),"")</f>
        <v/>
      </c>
      <c r="E318" s="9" t="str">
        <f>IF(ISNUMBER(Output!E317),IF(Output!E317&gt;=12,IFERROR(ROUND(INT(Output!E317)/12,0)&amp;"'-"&amp;INT(ROUND((Output!E317/12-INT(Output!E317/12))*12,2))&amp;" "&amp;IF(MROUND(ROUND((Output!E317/12-INT(Output!E317/12))*12,3)-INT(ROUND((Output!E317/12-INT(Output!E317/12))*12,3)),1/8)=0,"",VLOOKUP(MROUND((Output!E317/12-INT(Output!E317/12))*12-INT((Output!E317/12-INT(Output!E317/12))*12),1/8),fract[],2,FALSE))&amp;"''",""),IFERROR(INT(Output!E317)&amp;" "&amp;IF(MROUND((Output!E317-INT(Output!E317)),1/8)=0,"",VLOOKUP(MROUND((Output!E317-INT(Output!E317)),1/8),fract[],2,FALSE))&amp;"''","")),"")</f>
        <v/>
      </c>
      <c r="F318" s="8"/>
      <c r="G318" s="8"/>
      <c r="H318" s="9" t="str">
        <f t="shared" si="8"/>
        <v/>
      </c>
      <c r="I318" s="9" t="str">
        <f t="shared" si="9"/>
        <v/>
      </c>
      <c r="J318" s="12" t="str">
        <f>IF(ISNUMBER(Output!F317),Output!F317,"")</f>
        <v/>
      </c>
      <c r="K318" s="12" t="str">
        <f>IF(ISNUMBER(Output!G317),Output!G317,"")</f>
        <v/>
      </c>
    </row>
    <row r="319" spans="1:11" x14ac:dyDescent="0.25">
      <c r="A319" s="9" t="str">
        <f>IF(ISBLANK(Output!A318),"",Output!A318)</f>
        <v/>
      </c>
      <c r="B319" s="9" t="str">
        <f>IF(ISBLANK(Output!B318),"",Output!B318)</f>
        <v/>
      </c>
      <c r="C319" s="9" t="str">
        <f>IF(ISNUMBER(Output!C318),IF(Output!C318&gt;=12,IFERROR(ROUND(INT(Output!C318)/12,0)&amp;"'-"&amp;INT(ROUND((Output!C318/12-INT(Output!C318/12))*12,2))&amp;" "&amp;IF(MROUND(ROUND((Output!C318/12-INT(Output!C318/12))*12,3)-INT(ROUND((Output!C318/12-INT(Output!C318/12))*12,3)),1/8)=0,"",VLOOKUP(MROUND((Output!C318/12-INT(Output!C318/12))*12-INT((Output!C318/12-INT(Output!C318/12))*12),1/8),fract[],2,FALSE))&amp;"''",""),IFERROR(INT(Output!C318)&amp;" "&amp;IF(MROUND((Output!C318-INT(Output!C318)),1/8)=0,"",VLOOKUP(MROUND((Output!C318-INT(Output!C318)),1/8),fract[],2,FALSE))&amp;"''","")),"")</f>
        <v/>
      </c>
      <c r="D319" s="9" t="str">
        <f>IF(ISNUMBER(Output!D318),IFERROR(ROUND(INT(Output!D318/12),3)&amp;"'-"&amp;INT(ROUND((Output!D318/12-INT(Output!D318/12))*12,3))&amp;" "&amp;IF(MROUND(ROUND((Output!D318/12-INT(Output!D318/12))*12,3)-INT(ROUND((Output!D318/12-INT(Output!D318/12))*12,3)),1/8)=0,"",VLOOKUP(MROUND((Output!D318/12-INT(Output!D318/12))*12-INT((Output!D318/12-INT(Output!D318/12))*12),1/8),fract[],2,FALSE))&amp;"''",""),"")</f>
        <v/>
      </c>
      <c r="E319" s="9" t="str">
        <f>IF(ISNUMBER(Output!E318),IF(Output!E318&gt;=12,IFERROR(ROUND(INT(Output!E318)/12,0)&amp;"'-"&amp;INT(ROUND((Output!E318/12-INT(Output!E318/12))*12,2))&amp;" "&amp;IF(MROUND(ROUND((Output!E318/12-INT(Output!E318/12))*12,3)-INT(ROUND((Output!E318/12-INT(Output!E318/12))*12,3)),1/8)=0,"",VLOOKUP(MROUND((Output!E318/12-INT(Output!E318/12))*12-INT((Output!E318/12-INT(Output!E318/12))*12),1/8),fract[],2,FALSE))&amp;"''",""),IFERROR(INT(Output!E318)&amp;" "&amp;IF(MROUND((Output!E318-INT(Output!E318)),1/8)=0,"",VLOOKUP(MROUND((Output!E318-INT(Output!E318)),1/8),fract[],2,FALSE))&amp;"''","")),"")</f>
        <v/>
      </c>
      <c r="F319" s="8"/>
      <c r="G319" s="8"/>
      <c r="H319" s="9" t="str">
        <f t="shared" si="8"/>
        <v/>
      </c>
      <c r="I319" s="9" t="str">
        <f t="shared" si="9"/>
        <v/>
      </c>
      <c r="J319" s="12" t="str">
        <f>IF(ISNUMBER(Output!F318),Output!F318,"")</f>
        <v/>
      </c>
      <c r="K319" s="12" t="str">
        <f>IF(ISNUMBER(Output!G318),Output!G318,"")</f>
        <v/>
      </c>
    </row>
    <row r="320" spans="1:11" x14ac:dyDescent="0.25">
      <c r="A320" s="9" t="str">
        <f>IF(ISBLANK(Output!A319),"",Output!A319)</f>
        <v/>
      </c>
      <c r="B320" s="9" t="str">
        <f>IF(ISBLANK(Output!B319),"",Output!B319)</f>
        <v/>
      </c>
      <c r="C320" s="9" t="str">
        <f>IF(ISNUMBER(Output!C319),IF(Output!C319&gt;=12,IFERROR(ROUND(INT(Output!C319)/12,0)&amp;"'-"&amp;INT(ROUND((Output!C319/12-INT(Output!C319/12))*12,2))&amp;" "&amp;IF(MROUND(ROUND((Output!C319/12-INT(Output!C319/12))*12,3)-INT(ROUND((Output!C319/12-INT(Output!C319/12))*12,3)),1/8)=0,"",VLOOKUP(MROUND((Output!C319/12-INT(Output!C319/12))*12-INT((Output!C319/12-INT(Output!C319/12))*12),1/8),fract[],2,FALSE))&amp;"''",""),IFERROR(INT(Output!C319)&amp;" "&amp;IF(MROUND((Output!C319-INT(Output!C319)),1/8)=0,"",VLOOKUP(MROUND((Output!C319-INT(Output!C319)),1/8),fract[],2,FALSE))&amp;"''","")),"")</f>
        <v/>
      </c>
      <c r="D320" s="9" t="str">
        <f>IF(ISNUMBER(Output!D319),IFERROR(ROUND(INT(Output!D319/12),3)&amp;"'-"&amp;INT(ROUND((Output!D319/12-INT(Output!D319/12))*12,3))&amp;" "&amp;IF(MROUND(ROUND((Output!D319/12-INT(Output!D319/12))*12,3)-INT(ROUND((Output!D319/12-INT(Output!D319/12))*12,3)),1/8)=0,"",VLOOKUP(MROUND((Output!D319/12-INT(Output!D319/12))*12-INT((Output!D319/12-INT(Output!D319/12))*12),1/8),fract[],2,FALSE))&amp;"''",""),"")</f>
        <v/>
      </c>
      <c r="E320" s="9" t="str">
        <f>IF(ISNUMBER(Output!E319),IF(Output!E319&gt;=12,IFERROR(ROUND(INT(Output!E319)/12,0)&amp;"'-"&amp;INT(ROUND((Output!E319/12-INT(Output!E319/12))*12,2))&amp;" "&amp;IF(MROUND(ROUND((Output!E319/12-INT(Output!E319/12))*12,3)-INT(ROUND((Output!E319/12-INT(Output!E319/12))*12,3)),1/8)=0,"",VLOOKUP(MROUND((Output!E319/12-INT(Output!E319/12))*12-INT((Output!E319/12-INT(Output!E319/12))*12),1/8),fract[],2,FALSE))&amp;"''",""),IFERROR(INT(Output!E319)&amp;" "&amp;IF(MROUND((Output!E319-INT(Output!E319)),1/8)=0,"",VLOOKUP(MROUND((Output!E319-INT(Output!E319)),1/8),fract[],2,FALSE))&amp;"''","")),"")</f>
        <v/>
      </c>
      <c r="F320" s="8"/>
      <c r="G320" s="8"/>
      <c r="H320" s="9" t="str">
        <f t="shared" si="8"/>
        <v/>
      </c>
      <c r="I320" s="9" t="str">
        <f t="shared" si="9"/>
        <v/>
      </c>
      <c r="J320" s="12" t="str">
        <f>IF(ISNUMBER(Output!F319),Output!F319,"")</f>
        <v/>
      </c>
      <c r="K320" s="12" t="str">
        <f>IF(ISNUMBER(Output!G319),Output!G319,"")</f>
        <v/>
      </c>
    </row>
    <row r="321" spans="1:11" x14ac:dyDescent="0.25">
      <c r="A321" s="9" t="str">
        <f>IF(ISBLANK(Output!A320),"",Output!A320)</f>
        <v/>
      </c>
      <c r="B321" s="9" t="str">
        <f>IF(ISBLANK(Output!B320),"",Output!B320)</f>
        <v/>
      </c>
      <c r="C321" s="9" t="str">
        <f>IF(ISNUMBER(Output!C320),IF(Output!C320&gt;=12,IFERROR(ROUND(INT(Output!C320)/12,0)&amp;"'-"&amp;INT(ROUND((Output!C320/12-INT(Output!C320/12))*12,2))&amp;" "&amp;IF(MROUND(ROUND((Output!C320/12-INT(Output!C320/12))*12,3)-INT(ROUND((Output!C320/12-INT(Output!C320/12))*12,3)),1/8)=0,"",VLOOKUP(MROUND((Output!C320/12-INT(Output!C320/12))*12-INT((Output!C320/12-INT(Output!C320/12))*12),1/8),fract[],2,FALSE))&amp;"''",""),IFERROR(INT(Output!C320)&amp;" "&amp;IF(MROUND((Output!C320-INT(Output!C320)),1/8)=0,"",VLOOKUP(MROUND((Output!C320-INT(Output!C320)),1/8),fract[],2,FALSE))&amp;"''","")),"")</f>
        <v/>
      </c>
      <c r="D321" s="9" t="str">
        <f>IF(ISNUMBER(Output!D320),IFERROR(ROUND(INT(Output!D320/12),3)&amp;"'-"&amp;INT(ROUND((Output!D320/12-INT(Output!D320/12))*12,3))&amp;" "&amp;IF(MROUND(ROUND((Output!D320/12-INT(Output!D320/12))*12,3)-INT(ROUND((Output!D320/12-INT(Output!D320/12))*12,3)),1/8)=0,"",VLOOKUP(MROUND((Output!D320/12-INT(Output!D320/12))*12-INT((Output!D320/12-INT(Output!D320/12))*12),1/8),fract[],2,FALSE))&amp;"''",""),"")</f>
        <v/>
      </c>
      <c r="E321" s="9" t="str">
        <f>IF(ISNUMBER(Output!E320),IF(Output!E320&gt;=12,IFERROR(ROUND(INT(Output!E320)/12,0)&amp;"'-"&amp;INT(ROUND((Output!E320/12-INT(Output!E320/12))*12,2))&amp;" "&amp;IF(MROUND(ROUND((Output!E320/12-INT(Output!E320/12))*12,3)-INT(ROUND((Output!E320/12-INT(Output!E320/12))*12,3)),1/8)=0,"",VLOOKUP(MROUND((Output!E320/12-INT(Output!E320/12))*12-INT((Output!E320/12-INT(Output!E320/12))*12),1/8),fract[],2,FALSE))&amp;"''",""),IFERROR(INT(Output!E320)&amp;" "&amp;IF(MROUND((Output!E320-INT(Output!E320)),1/8)=0,"",VLOOKUP(MROUND((Output!E320-INT(Output!E320)),1/8),fract[],2,FALSE))&amp;"''","")),"")</f>
        <v/>
      </c>
      <c r="F321" s="8"/>
      <c r="G321" s="8"/>
      <c r="H321" s="9" t="str">
        <f t="shared" si="8"/>
        <v/>
      </c>
      <c r="I321" s="9" t="str">
        <f t="shared" si="9"/>
        <v/>
      </c>
      <c r="J321" s="12" t="str">
        <f>IF(ISNUMBER(Output!F320),Output!F320,"")</f>
        <v/>
      </c>
      <c r="K321" s="12" t="str">
        <f>IF(ISNUMBER(Output!G320),Output!G320,"")</f>
        <v/>
      </c>
    </row>
    <row r="322" spans="1:11" x14ac:dyDescent="0.25">
      <c r="A322" s="9" t="str">
        <f>IF(ISBLANK(Output!A321),"",Output!A321)</f>
        <v/>
      </c>
      <c r="B322" s="9" t="str">
        <f>IF(ISBLANK(Output!B321),"",Output!B321)</f>
        <v/>
      </c>
      <c r="C322" s="9" t="str">
        <f>IF(ISNUMBER(Output!C321),IF(Output!C321&gt;=12,IFERROR(ROUND(INT(Output!C321)/12,0)&amp;"'-"&amp;INT(ROUND((Output!C321/12-INT(Output!C321/12))*12,2))&amp;" "&amp;IF(MROUND(ROUND((Output!C321/12-INT(Output!C321/12))*12,3)-INT(ROUND((Output!C321/12-INT(Output!C321/12))*12,3)),1/8)=0,"",VLOOKUP(MROUND((Output!C321/12-INT(Output!C321/12))*12-INT((Output!C321/12-INT(Output!C321/12))*12),1/8),fract[],2,FALSE))&amp;"''",""),IFERROR(INT(Output!C321)&amp;" "&amp;IF(MROUND((Output!C321-INT(Output!C321)),1/8)=0,"",VLOOKUP(MROUND((Output!C321-INT(Output!C321)),1/8),fract[],2,FALSE))&amp;"''","")),"")</f>
        <v/>
      </c>
      <c r="D322" s="9" t="str">
        <f>IF(ISNUMBER(Output!D321),IFERROR(ROUND(INT(Output!D321/12),3)&amp;"'-"&amp;INT(ROUND((Output!D321/12-INT(Output!D321/12))*12,3))&amp;" "&amp;IF(MROUND(ROUND((Output!D321/12-INT(Output!D321/12))*12,3)-INT(ROUND((Output!D321/12-INT(Output!D321/12))*12,3)),1/8)=0,"",VLOOKUP(MROUND((Output!D321/12-INT(Output!D321/12))*12-INT((Output!D321/12-INT(Output!D321/12))*12),1/8),fract[],2,FALSE))&amp;"''",""),"")</f>
        <v/>
      </c>
      <c r="E322" s="9" t="str">
        <f>IF(ISNUMBER(Output!E321),IF(Output!E321&gt;=12,IFERROR(ROUND(INT(Output!E321)/12,0)&amp;"'-"&amp;INT(ROUND((Output!E321/12-INT(Output!E321/12))*12,2))&amp;" "&amp;IF(MROUND(ROUND((Output!E321/12-INT(Output!E321/12))*12,3)-INT(ROUND((Output!E321/12-INT(Output!E321/12))*12,3)),1/8)=0,"",VLOOKUP(MROUND((Output!E321/12-INT(Output!E321/12))*12-INT((Output!E321/12-INT(Output!E321/12))*12),1/8),fract[],2,FALSE))&amp;"''",""),IFERROR(INT(Output!E321)&amp;" "&amp;IF(MROUND((Output!E321-INT(Output!E321)),1/8)=0,"",VLOOKUP(MROUND((Output!E321-INT(Output!E321)),1/8),fract[],2,FALSE))&amp;"''","")),"")</f>
        <v/>
      </c>
      <c r="F322" s="8"/>
      <c r="G322" s="8"/>
      <c r="H322" s="9" t="str">
        <f t="shared" si="8"/>
        <v/>
      </c>
      <c r="I322" s="9" t="str">
        <f t="shared" si="9"/>
        <v/>
      </c>
      <c r="J322" s="12" t="str">
        <f>IF(ISNUMBER(Output!F321),Output!F321,"")</f>
        <v/>
      </c>
      <c r="K322" s="12" t="str">
        <f>IF(ISNUMBER(Output!G321),Output!G321,"")</f>
        <v/>
      </c>
    </row>
    <row r="323" spans="1:11" x14ac:dyDescent="0.25">
      <c r="A323" s="9" t="str">
        <f>IF(ISBLANK(Output!A322),"",Output!A322)</f>
        <v/>
      </c>
      <c r="B323" s="9" t="str">
        <f>IF(ISBLANK(Output!B322),"",Output!B322)</f>
        <v/>
      </c>
      <c r="C323" s="9" t="str">
        <f>IF(ISNUMBER(Output!C322),IF(Output!C322&gt;=12,IFERROR(ROUND(INT(Output!C322)/12,0)&amp;"'-"&amp;INT(ROUND((Output!C322/12-INT(Output!C322/12))*12,2))&amp;" "&amp;IF(MROUND(ROUND((Output!C322/12-INT(Output!C322/12))*12,3)-INT(ROUND((Output!C322/12-INT(Output!C322/12))*12,3)),1/8)=0,"",VLOOKUP(MROUND((Output!C322/12-INT(Output!C322/12))*12-INT((Output!C322/12-INT(Output!C322/12))*12),1/8),fract[],2,FALSE))&amp;"''",""),IFERROR(INT(Output!C322)&amp;" "&amp;IF(MROUND((Output!C322-INT(Output!C322)),1/8)=0,"",VLOOKUP(MROUND((Output!C322-INT(Output!C322)),1/8),fract[],2,FALSE))&amp;"''","")),"")</f>
        <v/>
      </c>
      <c r="D323" s="9" t="str">
        <f>IF(ISNUMBER(Output!D322),IFERROR(ROUND(INT(Output!D322/12),3)&amp;"'-"&amp;INT(ROUND((Output!D322/12-INT(Output!D322/12))*12,3))&amp;" "&amp;IF(MROUND(ROUND((Output!D322/12-INT(Output!D322/12))*12,3)-INT(ROUND((Output!D322/12-INT(Output!D322/12))*12,3)),1/8)=0,"",VLOOKUP(MROUND((Output!D322/12-INT(Output!D322/12))*12-INT((Output!D322/12-INT(Output!D322/12))*12),1/8),fract[],2,FALSE))&amp;"''",""),"")</f>
        <v/>
      </c>
      <c r="E323" s="9" t="str">
        <f>IF(ISNUMBER(Output!E322),IF(Output!E322&gt;=12,IFERROR(ROUND(INT(Output!E322)/12,0)&amp;"'-"&amp;INT(ROUND((Output!E322/12-INT(Output!E322/12))*12,2))&amp;" "&amp;IF(MROUND(ROUND((Output!E322/12-INT(Output!E322/12))*12,3)-INT(ROUND((Output!E322/12-INT(Output!E322/12))*12,3)),1/8)=0,"",VLOOKUP(MROUND((Output!E322/12-INT(Output!E322/12))*12-INT((Output!E322/12-INT(Output!E322/12))*12),1/8),fract[],2,FALSE))&amp;"''",""),IFERROR(INT(Output!E322)&amp;" "&amp;IF(MROUND((Output!E322-INT(Output!E322)),1/8)=0,"",VLOOKUP(MROUND((Output!E322-INT(Output!E322)),1/8),fract[],2,FALSE))&amp;"''","")),"")</f>
        <v/>
      </c>
      <c r="F323" s="8"/>
      <c r="G323" s="8"/>
      <c r="H323" s="9" t="str">
        <f t="shared" si="8"/>
        <v/>
      </c>
      <c r="I323" s="9" t="str">
        <f t="shared" si="9"/>
        <v/>
      </c>
      <c r="J323" s="12" t="str">
        <f>IF(ISNUMBER(Output!F322),Output!F322,"")</f>
        <v/>
      </c>
      <c r="K323" s="12" t="str">
        <f>IF(ISNUMBER(Output!G322),Output!G322,"")</f>
        <v/>
      </c>
    </row>
    <row r="324" spans="1:11" x14ac:dyDescent="0.25">
      <c r="A324" s="9" t="str">
        <f>IF(ISBLANK(Output!A323),"",Output!A323)</f>
        <v/>
      </c>
      <c r="B324" s="9" t="str">
        <f>IF(ISBLANK(Output!B323),"",Output!B323)</f>
        <v/>
      </c>
      <c r="C324" s="9" t="str">
        <f>IF(ISNUMBER(Output!C323),IF(Output!C323&gt;=12,IFERROR(ROUND(INT(Output!C323)/12,0)&amp;"'-"&amp;INT(ROUND((Output!C323/12-INT(Output!C323/12))*12,2))&amp;" "&amp;IF(MROUND(ROUND((Output!C323/12-INT(Output!C323/12))*12,3)-INT(ROUND((Output!C323/12-INT(Output!C323/12))*12,3)),1/8)=0,"",VLOOKUP(MROUND((Output!C323/12-INT(Output!C323/12))*12-INT((Output!C323/12-INT(Output!C323/12))*12),1/8),fract[],2,FALSE))&amp;"''",""),IFERROR(INT(Output!C323)&amp;" "&amp;IF(MROUND((Output!C323-INT(Output!C323)),1/8)=0,"",VLOOKUP(MROUND((Output!C323-INT(Output!C323)),1/8),fract[],2,FALSE))&amp;"''","")),"")</f>
        <v/>
      </c>
      <c r="D324" s="9" t="str">
        <f>IF(ISNUMBER(Output!D323),IFERROR(ROUND(INT(Output!D323/12),3)&amp;"'-"&amp;INT(ROUND((Output!D323/12-INT(Output!D323/12))*12,3))&amp;" "&amp;IF(MROUND(ROUND((Output!D323/12-INT(Output!D323/12))*12,3)-INT(ROUND((Output!D323/12-INT(Output!D323/12))*12,3)),1/8)=0,"",VLOOKUP(MROUND((Output!D323/12-INT(Output!D323/12))*12-INT((Output!D323/12-INT(Output!D323/12))*12),1/8),fract[],2,FALSE))&amp;"''",""),"")</f>
        <v/>
      </c>
      <c r="E324" s="9" t="str">
        <f>IF(ISNUMBER(Output!E323),IF(Output!E323&gt;=12,IFERROR(ROUND(INT(Output!E323)/12,0)&amp;"'-"&amp;INT(ROUND((Output!E323/12-INT(Output!E323/12))*12,2))&amp;" "&amp;IF(MROUND(ROUND((Output!E323/12-INT(Output!E323/12))*12,3)-INT(ROUND((Output!E323/12-INT(Output!E323/12))*12,3)),1/8)=0,"",VLOOKUP(MROUND((Output!E323/12-INT(Output!E323/12))*12-INT((Output!E323/12-INT(Output!E323/12))*12),1/8),fract[],2,FALSE))&amp;"''",""),IFERROR(INT(Output!E323)&amp;" "&amp;IF(MROUND((Output!E323-INT(Output!E323)),1/8)=0,"",VLOOKUP(MROUND((Output!E323-INT(Output!E323)),1/8),fract[],2,FALSE))&amp;"''","")),"")</f>
        <v/>
      </c>
      <c r="F324" s="8"/>
      <c r="G324" s="8"/>
      <c r="H324" s="9" t="str">
        <f t="shared" si="8"/>
        <v/>
      </c>
      <c r="I324" s="9" t="str">
        <f t="shared" si="9"/>
        <v/>
      </c>
      <c r="J324" s="12" t="str">
        <f>IF(ISNUMBER(Output!F323),Output!F323,"")</f>
        <v/>
      </c>
      <c r="K324" s="12" t="str">
        <f>IF(ISNUMBER(Output!G323),Output!G323,"")</f>
        <v/>
      </c>
    </row>
    <row r="325" spans="1:11" x14ac:dyDescent="0.25">
      <c r="A325" s="9" t="str">
        <f>IF(ISBLANK(Output!A324),"",Output!A324)</f>
        <v/>
      </c>
      <c r="B325" s="9" t="str">
        <f>IF(ISBLANK(Output!B324),"",Output!B324)</f>
        <v/>
      </c>
      <c r="C325" s="9" t="str">
        <f>IF(ISNUMBER(Output!C324),IF(Output!C324&gt;=12,IFERROR(ROUND(INT(Output!C324)/12,0)&amp;"'-"&amp;INT(ROUND((Output!C324/12-INT(Output!C324/12))*12,2))&amp;" "&amp;IF(MROUND(ROUND((Output!C324/12-INT(Output!C324/12))*12,3)-INT(ROUND((Output!C324/12-INT(Output!C324/12))*12,3)),1/8)=0,"",VLOOKUP(MROUND((Output!C324/12-INT(Output!C324/12))*12-INT((Output!C324/12-INT(Output!C324/12))*12),1/8),fract[],2,FALSE))&amp;"''",""),IFERROR(INT(Output!C324)&amp;" "&amp;IF(MROUND((Output!C324-INT(Output!C324)),1/8)=0,"",VLOOKUP(MROUND((Output!C324-INT(Output!C324)),1/8),fract[],2,FALSE))&amp;"''","")),"")</f>
        <v/>
      </c>
      <c r="D325" s="9" t="str">
        <f>IF(ISNUMBER(Output!D324),IFERROR(ROUND(INT(Output!D324/12),3)&amp;"'-"&amp;INT(ROUND((Output!D324/12-INT(Output!D324/12))*12,3))&amp;" "&amp;IF(MROUND(ROUND((Output!D324/12-INT(Output!D324/12))*12,3)-INT(ROUND((Output!D324/12-INT(Output!D324/12))*12,3)),1/8)=0,"",VLOOKUP(MROUND((Output!D324/12-INT(Output!D324/12))*12-INT((Output!D324/12-INT(Output!D324/12))*12),1/8),fract[],2,FALSE))&amp;"''",""),"")</f>
        <v/>
      </c>
      <c r="E325" s="9" t="str">
        <f>IF(ISNUMBER(Output!E324),IF(Output!E324&gt;=12,IFERROR(ROUND(INT(Output!E324)/12,0)&amp;"'-"&amp;INT(ROUND((Output!E324/12-INT(Output!E324/12))*12,2))&amp;" "&amp;IF(MROUND(ROUND((Output!E324/12-INT(Output!E324/12))*12,3)-INT(ROUND((Output!E324/12-INT(Output!E324/12))*12,3)),1/8)=0,"",VLOOKUP(MROUND((Output!E324/12-INT(Output!E324/12))*12-INT((Output!E324/12-INT(Output!E324/12))*12),1/8),fract[],2,FALSE))&amp;"''",""),IFERROR(INT(Output!E324)&amp;" "&amp;IF(MROUND((Output!E324-INT(Output!E324)),1/8)=0,"",VLOOKUP(MROUND((Output!E324-INT(Output!E324)),1/8),fract[],2,FALSE))&amp;"''","")),"")</f>
        <v/>
      </c>
      <c r="F325" s="8"/>
      <c r="G325" s="8"/>
      <c r="H325" s="9" t="str">
        <f t="shared" ref="H325:H344" si="10">A325</f>
        <v/>
      </c>
      <c r="I325" s="9" t="str">
        <f t="shared" ref="I325:I344" si="11">B325</f>
        <v/>
      </c>
      <c r="J325" s="12" t="str">
        <f>IF(ISNUMBER(Output!F324),Output!F324,"")</f>
        <v/>
      </c>
      <c r="K325" s="12" t="str">
        <f>IF(ISNUMBER(Output!G324),Output!G324,"")</f>
        <v/>
      </c>
    </row>
    <row r="326" spans="1:11" x14ac:dyDescent="0.25">
      <c r="A326" s="9" t="str">
        <f>IF(ISBLANK(Output!A325),"",Output!A325)</f>
        <v/>
      </c>
      <c r="B326" s="9" t="str">
        <f>IF(ISBLANK(Output!B325),"",Output!B325)</f>
        <v/>
      </c>
      <c r="C326" s="9" t="str">
        <f>IF(ISNUMBER(Output!C325),IF(Output!C325&gt;=12,IFERROR(ROUND(INT(Output!C325)/12,0)&amp;"'-"&amp;INT(ROUND((Output!C325/12-INT(Output!C325/12))*12,2))&amp;" "&amp;IF(MROUND(ROUND((Output!C325/12-INT(Output!C325/12))*12,3)-INT(ROUND((Output!C325/12-INT(Output!C325/12))*12,3)),1/8)=0,"",VLOOKUP(MROUND((Output!C325/12-INT(Output!C325/12))*12-INT((Output!C325/12-INT(Output!C325/12))*12),1/8),fract[],2,FALSE))&amp;"''",""),IFERROR(INT(Output!C325)&amp;" "&amp;IF(MROUND((Output!C325-INT(Output!C325)),1/8)=0,"",VLOOKUP(MROUND((Output!C325-INT(Output!C325)),1/8),fract[],2,FALSE))&amp;"''","")),"")</f>
        <v/>
      </c>
      <c r="D326" s="9" t="str">
        <f>IF(ISNUMBER(Output!D325),IFERROR(ROUND(INT(Output!D325/12),3)&amp;"'-"&amp;INT(ROUND((Output!D325/12-INT(Output!D325/12))*12,3))&amp;" "&amp;IF(MROUND(ROUND((Output!D325/12-INT(Output!D325/12))*12,3)-INT(ROUND((Output!D325/12-INT(Output!D325/12))*12,3)),1/8)=0,"",VLOOKUP(MROUND((Output!D325/12-INT(Output!D325/12))*12-INT((Output!D325/12-INT(Output!D325/12))*12),1/8),fract[],2,FALSE))&amp;"''",""),"")</f>
        <v/>
      </c>
      <c r="E326" s="9" t="str">
        <f>IF(ISNUMBER(Output!E325),IF(Output!E325&gt;=12,IFERROR(ROUND(INT(Output!E325)/12,0)&amp;"'-"&amp;INT(ROUND((Output!E325/12-INT(Output!E325/12))*12,2))&amp;" "&amp;IF(MROUND(ROUND((Output!E325/12-INT(Output!E325/12))*12,3)-INT(ROUND((Output!E325/12-INT(Output!E325/12))*12,3)),1/8)=0,"",VLOOKUP(MROUND((Output!E325/12-INT(Output!E325/12))*12-INT((Output!E325/12-INT(Output!E325/12))*12),1/8),fract[],2,FALSE))&amp;"''",""),IFERROR(INT(Output!E325)&amp;" "&amp;IF(MROUND((Output!E325-INT(Output!E325)),1/8)=0,"",VLOOKUP(MROUND((Output!E325-INT(Output!E325)),1/8),fract[],2,FALSE))&amp;"''","")),"")</f>
        <v/>
      </c>
      <c r="F326" s="8"/>
      <c r="G326" s="8"/>
      <c r="H326" s="9" t="str">
        <f t="shared" si="10"/>
        <v/>
      </c>
      <c r="I326" s="9" t="str">
        <f t="shared" si="11"/>
        <v/>
      </c>
      <c r="J326" s="12" t="str">
        <f>IF(ISNUMBER(Output!F325),Output!F325,"")</f>
        <v/>
      </c>
      <c r="K326" s="12" t="str">
        <f>IF(ISNUMBER(Output!G325),Output!G325,"")</f>
        <v/>
      </c>
    </row>
    <row r="327" spans="1:11" x14ac:dyDescent="0.25">
      <c r="A327" s="9" t="str">
        <f>IF(ISBLANK(Output!A326),"",Output!A326)</f>
        <v/>
      </c>
      <c r="B327" s="9" t="str">
        <f>IF(ISBLANK(Output!B326),"",Output!B326)</f>
        <v/>
      </c>
      <c r="C327" s="9" t="str">
        <f>IF(ISNUMBER(Output!C326),IF(Output!C326&gt;=12,IFERROR(ROUND(INT(Output!C326)/12,0)&amp;"'-"&amp;INT(ROUND((Output!C326/12-INT(Output!C326/12))*12,2))&amp;" "&amp;IF(MROUND(ROUND((Output!C326/12-INT(Output!C326/12))*12,3)-INT(ROUND((Output!C326/12-INT(Output!C326/12))*12,3)),1/8)=0,"",VLOOKUP(MROUND((Output!C326/12-INT(Output!C326/12))*12-INT((Output!C326/12-INT(Output!C326/12))*12),1/8),fract[],2,FALSE))&amp;"''",""),IFERROR(INT(Output!C326)&amp;" "&amp;IF(MROUND((Output!C326-INT(Output!C326)),1/8)=0,"",VLOOKUP(MROUND((Output!C326-INT(Output!C326)),1/8),fract[],2,FALSE))&amp;"''","")),"")</f>
        <v/>
      </c>
      <c r="D327" s="9" t="str">
        <f>IF(ISNUMBER(Output!D326),IFERROR(ROUND(INT(Output!D326/12),3)&amp;"'-"&amp;INT(ROUND((Output!D326/12-INT(Output!D326/12))*12,3))&amp;" "&amp;IF(MROUND(ROUND((Output!D326/12-INT(Output!D326/12))*12,3)-INT(ROUND((Output!D326/12-INT(Output!D326/12))*12,3)),1/8)=0,"",VLOOKUP(MROUND((Output!D326/12-INT(Output!D326/12))*12-INT((Output!D326/12-INT(Output!D326/12))*12),1/8),fract[],2,FALSE))&amp;"''",""),"")</f>
        <v/>
      </c>
      <c r="E327" s="9" t="str">
        <f>IF(ISNUMBER(Output!E326),IF(Output!E326&gt;=12,IFERROR(ROUND(INT(Output!E326)/12,0)&amp;"'-"&amp;INT(ROUND((Output!E326/12-INT(Output!E326/12))*12,2))&amp;" "&amp;IF(MROUND(ROUND((Output!E326/12-INT(Output!E326/12))*12,3)-INT(ROUND((Output!E326/12-INT(Output!E326/12))*12,3)),1/8)=0,"",VLOOKUP(MROUND((Output!E326/12-INT(Output!E326/12))*12-INT((Output!E326/12-INT(Output!E326/12))*12),1/8),fract[],2,FALSE))&amp;"''",""),IFERROR(INT(Output!E326)&amp;" "&amp;IF(MROUND((Output!E326-INT(Output!E326)),1/8)=0,"",VLOOKUP(MROUND((Output!E326-INT(Output!E326)),1/8),fract[],2,FALSE))&amp;"''","")),"")</f>
        <v/>
      </c>
      <c r="F327" s="8"/>
      <c r="G327" s="8"/>
      <c r="H327" s="9" t="str">
        <f t="shared" si="10"/>
        <v/>
      </c>
      <c r="I327" s="9" t="str">
        <f t="shared" si="11"/>
        <v/>
      </c>
      <c r="J327" s="12" t="str">
        <f>IF(ISNUMBER(Output!F326),Output!F326,"")</f>
        <v/>
      </c>
      <c r="K327" s="12" t="str">
        <f>IF(ISNUMBER(Output!G326),Output!G326,"")</f>
        <v/>
      </c>
    </row>
    <row r="328" spans="1:11" x14ac:dyDescent="0.25">
      <c r="A328" s="9" t="str">
        <f>IF(ISBLANK(Output!A327),"",Output!A327)</f>
        <v/>
      </c>
      <c r="B328" s="9" t="str">
        <f>IF(ISBLANK(Output!B327),"",Output!B327)</f>
        <v/>
      </c>
      <c r="C328" s="9" t="str">
        <f>IF(ISNUMBER(Output!C327),IF(Output!C327&gt;=12,IFERROR(ROUND(INT(Output!C327)/12,0)&amp;"'-"&amp;INT(ROUND((Output!C327/12-INT(Output!C327/12))*12,2))&amp;" "&amp;IF(MROUND(ROUND((Output!C327/12-INT(Output!C327/12))*12,3)-INT(ROUND((Output!C327/12-INT(Output!C327/12))*12,3)),1/8)=0,"",VLOOKUP(MROUND((Output!C327/12-INT(Output!C327/12))*12-INT((Output!C327/12-INT(Output!C327/12))*12),1/8),fract[],2,FALSE))&amp;"''",""),IFERROR(INT(Output!C327)&amp;" "&amp;IF(MROUND((Output!C327-INT(Output!C327)),1/8)=0,"",VLOOKUP(MROUND((Output!C327-INT(Output!C327)),1/8),fract[],2,FALSE))&amp;"''","")),"")</f>
        <v/>
      </c>
      <c r="D328" s="9" t="str">
        <f>IF(ISNUMBER(Output!D327),IFERROR(ROUND(INT(Output!D327/12),3)&amp;"'-"&amp;INT(ROUND((Output!D327/12-INT(Output!D327/12))*12,3))&amp;" "&amp;IF(MROUND(ROUND((Output!D327/12-INT(Output!D327/12))*12,3)-INT(ROUND((Output!D327/12-INT(Output!D327/12))*12,3)),1/8)=0,"",VLOOKUP(MROUND((Output!D327/12-INT(Output!D327/12))*12-INT((Output!D327/12-INT(Output!D327/12))*12),1/8),fract[],2,FALSE))&amp;"''",""),"")</f>
        <v/>
      </c>
      <c r="E328" s="9" t="str">
        <f>IF(ISNUMBER(Output!E327),IF(Output!E327&gt;=12,IFERROR(ROUND(INT(Output!E327)/12,0)&amp;"'-"&amp;INT(ROUND((Output!E327/12-INT(Output!E327/12))*12,2))&amp;" "&amp;IF(MROUND(ROUND((Output!E327/12-INT(Output!E327/12))*12,3)-INT(ROUND((Output!E327/12-INT(Output!E327/12))*12,3)),1/8)=0,"",VLOOKUP(MROUND((Output!E327/12-INT(Output!E327/12))*12-INT((Output!E327/12-INT(Output!E327/12))*12),1/8),fract[],2,FALSE))&amp;"''",""),IFERROR(INT(Output!E327)&amp;" "&amp;IF(MROUND((Output!E327-INT(Output!E327)),1/8)=0,"",VLOOKUP(MROUND((Output!E327-INT(Output!E327)),1/8),fract[],2,FALSE))&amp;"''","")),"")</f>
        <v/>
      </c>
      <c r="F328" s="8"/>
      <c r="G328" s="8"/>
      <c r="H328" s="9" t="str">
        <f t="shared" si="10"/>
        <v/>
      </c>
      <c r="I328" s="9" t="str">
        <f t="shared" si="11"/>
        <v/>
      </c>
      <c r="J328" s="12" t="str">
        <f>IF(ISNUMBER(Output!F327),Output!F327,"")</f>
        <v/>
      </c>
      <c r="K328" s="12" t="str">
        <f>IF(ISNUMBER(Output!G327),Output!G327,"")</f>
        <v/>
      </c>
    </row>
    <row r="329" spans="1:11" x14ac:dyDescent="0.25">
      <c r="A329" s="9" t="str">
        <f>IF(ISBLANK(Output!A328),"",Output!A328)</f>
        <v/>
      </c>
      <c r="B329" s="9" t="str">
        <f>IF(ISBLANK(Output!B328),"",Output!B328)</f>
        <v/>
      </c>
      <c r="C329" s="9" t="str">
        <f>IF(ISNUMBER(Output!C328),IF(Output!C328&gt;=12,IFERROR(ROUND(INT(Output!C328)/12,0)&amp;"'-"&amp;INT(ROUND((Output!C328/12-INT(Output!C328/12))*12,2))&amp;" "&amp;IF(MROUND(ROUND((Output!C328/12-INT(Output!C328/12))*12,3)-INT(ROUND((Output!C328/12-INT(Output!C328/12))*12,3)),1/8)=0,"",VLOOKUP(MROUND((Output!C328/12-INT(Output!C328/12))*12-INT((Output!C328/12-INT(Output!C328/12))*12),1/8),fract[],2,FALSE))&amp;"''",""),IFERROR(INT(Output!C328)&amp;" "&amp;IF(MROUND((Output!C328-INT(Output!C328)),1/8)=0,"",VLOOKUP(MROUND((Output!C328-INT(Output!C328)),1/8),fract[],2,FALSE))&amp;"''","")),"")</f>
        <v/>
      </c>
      <c r="D329" s="9" t="str">
        <f>IF(ISNUMBER(Output!D328),IFERROR(ROUND(INT(Output!D328/12),3)&amp;"'-"&amp;INT(ROUND((Output!D328/12-INT(Output!D328/12))*12,3))&amp;" "&amp;IF(MROUND(ROUND((Output!D328/12-INT(Output!D328/12))*12,3)-INT(ROUND((Output!D328/12-INT(Output!D328/12))*12,3)),1/8)=0,"",VLOOKUP(MROUND((Output!D328/12-INT(Output!D328/12))*12-INT((Output!D328/12-INT(Output!D328/12))*12),1/8),fract[],2,FALSE))&amp;"''",""),"")</f>
        <v/>
      </c>
      <c r="E329" s="9" t="str">
        <f>IF(ISNUMBER(Output!E328),IF(Output!E328&gt;=12,IFERROR(ROUND(INT(Output!E328)/12,0)&amp;"'-"&amp;INT(ROUND((Output!E328/12-INT(Output!E328/12))*12,2))&amp;" "&amp;IF(MROUND(ROUND((Output!E328/12-INT(Output!E328/12))*12,3)-INT(ROUND((Output!E328/12-INT(Output!E328/12))*12,3)),1/8)=0,"",VLOOKUP(MROUND((Output!E328/12-INT(Output!E328/12))*12-INT((Output!E328/12-INT(Output!E328/12))*12),1/8),fract[],2,FALSE))&amp;"''",""),IFERROR(INT(Output!E328)&amp;" "&amp;IF(MROUND((Output!E328-INT(Output!E328)),1/8)=0,"",VLOOKUP(MROUND((Output!E328-INT(Output!E328)),1/8),fract[],2,FALSE))&amp;"''","")),"")</f>
        <v/>
      </c>
      <c r="F329" s="8"/>
      <c r="G329" s="8"/>
      <c r="H329" s="9" t="str">
        <f t="shared" si="10"/>
        <v/>
      </c>
      <c r="I329" s="9" t="str">
        <f t="shared" si="11"/>
        <v/>
      </c>
      <c r="J329" s="12" t="str">
        <f>IF(ISNUMBER(Output!F328),Output!F328,"")</f>
        <v/>
      </c>
      <c r="K329" s="12" t="str">
        <f>IF(ISNUMBER(Output!G328),Output!G328,"")</f>
        <v/>
      </c>
    </row>
    <row r="330" spans="1:11" x14ac:dyDescent="0.25">
      <c r="A330" s="9" t="str">
        <f>IF(ISBLANK(Output!A329),"",Output!A329)</f>
        <v/>
      </c>
      <c r="B330" s="9" t="str">
        <f>IF(ISBLANK(Output!B329),"",Output!B329)</f>
        <v/>
      </c>
      <c r="C330" s="9" t="str">
        <f>IF(ISNUMBER(Output!C329),IF(Output!C329&gt;=12,IFERROR(ROUND(INT(Output!C329)/12,0)&amp;"'-"&amp;INT(ROUND((Output!C329/12-INT(Output!C329/12))*12,2))&amp;" "&amp;IF(MROUND(ROUND((Output!C329/12-INT(Output!C329/12))*12,3)-INT(ROUND((Output!C329/12-INT(Output!C329/12))*12,3)),1/8)=0,"",VLOOKUP(MROUND((Output!C329/12-INT(Output!C329/12))*12-INT((Output!C329/12-INT(Output!C329/12))*12),1/8),fract[],2,FALSE))&amp;"''",""),IFERROR(INT(Output!C329)&amp;" "&amp;IF(MROUND((Output!C329-INT(Output!C329)),1/8)=0,"",VLOOKUP(MROUND((Output!C329-INT(Output!C329)),1/8),fract[],2,FALSE))&amp;"''","")),"")</f>
        <v/>
      </c>
      <c r="D330" s="9" t="str">
        <f>IF(ISNUMBER(Output!D329),IFERROR(ROUND(INT(Output!D329/12),3)&amp;"'-"&amp;INT(ROUND((Output!D329/12-INT(Output!D329/12))*12,3))&amp;" "&amp;IF(MROUND(ROUND((Output!D329/12-INT(Output!D329/12))*12,3)-INT(ROUND((Output!D329/12-INT(Output!D329/12))*12,3)),1/8)=0,"",VLOOKUP(MROUND((Output!D329/12-INT(Output!D329/12))*12-INT((Output!D329/12-INT(Output!D329/12))*12),1/8),fract[],2,FALSE))&amp;"''",""),"")</f>
        <v/>
      </c>
      <c r="E330" s="9" t="str">
        <f>IF(ISNUMBER(Output!E329),IF(Output!E329&gt;=12,IFERROR(ROUND(INT(Output!E329)/12,0)&amp;"'-"&amp;INT(ROUND((Output!E329/12-INT(Output!E329/12))*12,2))&amp;" "&amp;IF(MROUND(ROUND((Output!E329/12-INT(Output!E329/12))*12,3)-INT(ROUND((Output!E329/12-INT(Output!E329/12))*12,3)),1/8)=0,"",VLOOKUP(MROUND((Output!E329/12-INT(Output!E329/12))*12-INT((Output!E329/12-INT(Output!E329/12))*12),1/8),fract[],2,FALSE))&amp;"''",""),IFERROR(INT(Output!E329)&amp;" "&amp;IF(MROUND((Output!E329-INT(Output!E329)),1/8)=0,"",VLOOKUP(MROUND((Output!E329-INT(Output!E329)),1/8),fract[],2,FALSE))&amp;"''","")),"")</f>
        <v/>
      </c>
      <c r="F330" s="8"/>
      <c r="G330" s="8"/>
      <c r="H330" s="9" t="str">
        <f t="shared" si="10"/>
        <v/>
      </c>
      <c r="I330" s="9" t="str">
        <f t="shared" si="11"/>
        <v/>
      </c>
      <c r="J330" s="12" t="str">
        <f>IF(ISNUMBER(Output!F329),Output!F329,"")</f>
        <v/>
      </c>
      <c r="K330" s="12" t="str">
        <f>IF(ISNUMBER(Output!G329),Output!G329,"")</f>
        <v/>
      </c>
    </row>
    <row r="331" spans="1:11" x14ac:dyDescent="0.25">
      <c r="A331" s="9" t="str">
        <f>IF(ISBLANK(Output!A330),"",Output!A330)</f>
        <v/>
      </c>
      <c r="B331" s="9" t="str">
        <f>IF(ISBLANK(Output!B330),"",Output!B330)</f>
        <v/>
      </c>
      <c r="C331" s="9" t="str">
        <f>IF(ISNUMBER(Output!C330),IF(Output!C330&gt;=12,IFERROR(ROUND(INT(Output!C330)/12,0)&amp;"'-"&amp;INT(ROUND((Output!C330/12-INT(Output!C330/12))*12,2))&amp;" "&amp;IF(MROUND(ROUND((Output!C330/12-INT(Output!C330/12))*12,3)-INT(ROUND((Output!C330/12-INT(Output!C330/12))*12,3)),1/8)=0,"",VLOOKUP(MROUND((Output!C330/12-INT(Output!C330/12))*12-INT((Output!C330/12-INT(Output!C330/12))*12),1/8),fract[],2,FALSE))&amp;"''",""),IFERROR(INT(Output!C330)&amp;" "&amp;IF(MROUND((Output!C330-INT(Output!C330)),1/8)=0,"",VLOOKUP(MROUND((Output!C330-INT(Output!C330)),1/8),fract[],2,FALSE))&amp;"''","")),"")</f>
        <v/>
      </c>
      <c r="D331" s="9" t="str">
        <f>IF(ISNUMBER(Output!D330),IFERROR(ROUND(INT(Output!D330/12),3)&amp;"'-"&amp;INT(ROUND((Output!D330/12-INT(Output!D330/12))*12,3))&amp;" "&amp;IF(MROUND(ROUND((Output!D330/12-INT(Output!D330/12))*12,3)-INT(ROUND((Output!D330/12-INT(Output!D330/12))*12,3)),1/8)=0,"",VLOOKUP(MROUND((Output!D330/12-INT(Output!D330/12))*12-INT((Output!D330/12-INT(Output!D330/12))*12),1/8),fract[],2,FALSE))&amp;"''",""),"")</f>
        <v/>
      </c>
      <c r="E331" s="9" t="str">
        <f>IF(ISNUMBER(Output!E330),IF(Output!E330&gt;=12,IFERROR(ROUND(INT(Output!E330)/12,0)&amp;"'-"&amp;INT(ROUND((Output!E330/12-INT(Output!E330/12))*12,2))&amp;" "&amp;IF(MROUND(ROUND((Output!E330/12-INT(Output!E330/12))*12,3)-INT(ROUND((Output!E330/12-INT(Output!E330/12))*12,3)),1/8)=0,"",VLOOKUP(MROUND((Output!E330/12-INT(Output!E330/12))*12-INT((Output!E330/12-INT(Output!E330/12))*12),1/8),fract[],2,FALSE))&amp;"''",""),IFERROR(INT(Output!E330)&amp;" "&amp;IF(MROUND((Output!E330-INT(Output!E330)),1/8)=0,"",VLOOKUP(MROUND((Output!E330-INT(Output!E330)),1/8),fract[],2,FALSE))&amp;"''","")),"")</f>
        <v/>
      </c>
      <c r="F331" s="8"/>
      <c r="G331" s="8"/>
      <c r="H331" s="9" t="str">
        <f t="shared" si="10"/>
        <v/>
      </c>
      <c r="I331" s="9" t="str">
        <f t="shared" si="11"/>
        <v/>
      </c>
      <c r="J331" s="12" t="str">
        <f>IF(ISNUMBER(Output!F330),Output!F330,"")</f>
        <v/>
      </c>
      <c r="K331" s="12" t="str">
        <f>IF(ISNUMBER(Output!G330),Output!G330,"")</f>
        <v/>
      </c>
    </row>
    <row r="332" spans="1:11" x14ac:dyDescent="0.25">
      <c r="A332" s="9" t="str">
        <f>IF(ISBLANK(Output!A331),"",Output!A331)</f>
        <v/>
      </c>
      <c r="B332" s="9" t="str">
        <f>IF(ISBLANK(Output!B331),"",Output!B331)</f>
        <v/>
      </c>
      <c r="C332" s="9" t="str">
        <f>IF(ISNUMBER(Output!C331),IF(Output!C331&gt;=12,IFERROR(ROUND(INT(Output!C331)/12,0)&amp;"'-"&amp;INT(ROUND((Output!C331/12-INT(Output!C331/12))*12,2))&amp;" "&amp;IF(MROUND(ROUND((Output!C331/12-INT(Output!C331/12))*12,3)-INT(ROUND((Output!C331/12-INT(Output!C331/12))*12,3)),1/8)=0,"",VLOOKUP(MROUND((Output!C331/12-INT(Output!C331/12))*12-INT((Output!C331/12-INT(Output!C331/12))*12),1/8),fract[],2,FALSE))&amp;"''",""),IFERROR(INT(Output!C331)&amp;" "&amp;IF(MROUND((Output!C331-INT(Output!C331)),1/8)=0,"",VLOOKUP(MROUND((Output!C331-INT(Output!C331)),1/8),fract[],2,FALSE))&amp;"''","")),"")</f>
        <v/>
      </c>
      <c r="D332" s="9" t="str">
        <f>IF(ISNUMBER(Output!D331),IFERROR(ROUND(INT(Output!D331/12),3)&amp;"'-"&amp;INT(ROUND((Output!D331/12-INT(Output!D331/12))*12,3))&amp;" "&amp;IF(MROUND(ROUND((Output!D331/12-INT(Output!D331/12))*12,3)-INT(ROUND((Output!D331/12-INT(Output!D331/12))*12,3)),1/8)=0,"",VLOOKUP(MROUND((Output!D331/12-INT(Output!D331/12))*12-INT((Output!D331/12-INT(Output!D331/12))*12),1/8),fract[],2,FALSE))&amp;"''",""),"")</f>
        <v/>
      </c>
      <c r="E332" s="9" t="str">
        <f>IF(ISNUMBER(Output!E331),IF(Output!E331&gt;=12,IFERROR(ROUND(INT(Output!E331)/12,0)&amp;"'-"&amp;INT(ROUND((Output!E331/12-INT(Output!E331/12))*12,2))&amp;" "&amp;IF(MROUND(ROUND((Output!E331/12-INT(Output!E331/12))*12,3)-INT(ROUND((Output!E331/12-INT(Output!E331/12))*12,3)),1/8)=0,"",VLOOKUP(MROUND((Output!E331/12-INT(Output!E331/12))*12-INT((Output!E331/12-INT(Output!E331/12))*12),1/8),fract[],2,FALSE))&amp;"''",""),IFERROR(INT(Output!E331)&amp;" "&amp;IF(MROUND((Output!E331-INT(Output!E331)),1/8)=0,"",VLOOKUP(MROUND((Output!E331-INT(Output!E331)),1/8),fract[],2,FALSE))&amp;"''","")),"")</f>
        <v/>
      </c>
      <c r="F332" s="8"/>
      <c r="G332" s="8"/>
      <c r="H332" s="9" t="str">
        <f t="shared" si="10"/>
        <v/>
      </c>
      <c r="I332" s="9" t="str">
        <f t="shared" si="11"/>
        <v/>
      </c>
      <c r="J332" s="12" t="str">
        <f>IF(ISNUMBER(Output!F331),Output!F331,"")</f>
        <v/>
      </c>
      <c r="K332" s="12" t="str">
        <f>IF(ISNUMBER(Output!G331),Output!G331,"")</f>
        <v/>
      </c>
    </row>
    <row r="333" spans="1:11" x14ac:dyDescent="0.25">
      <c r="A333" s="9" t="str">
        <f>IF(ISBLANK(Output!A332),"",Output!A332)</f>
        <v/>
      </c>
      <c r="B333" s="9" t="str">
        <f>IF(ISBLANK(Output!B332),"",Output!B332)</f>
        <v/>
      </c>
      <c r="C333" s="9" t="str">
        <f>IF(ISNUMBER(Output!C332),IF(Output!C332&gt;=12,IFERROR(ROUND(INT(Output!C332)/12,0)&amp;"'-"&amp;INT(ROUND((Output!C332/12-INT(Output!C332/12))*12,2))&amp;" "&amp;IF(MROUND(ROUND((Output!C332/12-INT(Output!C332/12))*12,3)-INT(ROUND((Output!C332/12-INT(Output!C332/12))*12,3)),1/8)=0,"",VLOOKUP(MROUND((Output!C332/12-INT(Output!C332/12))*12-INT((Output!C332/12-INT(Output!C332/12))*12),1/8),fract[],2,FALSE))&amp;"''",""),IFERROR(INT(Output!C332)&amp;" "&amp;IF(MROUND((Output!C332-INT(Output!C332)),1/8)=0,"",VLOOKUP(MROUND((Output!C332-INT(Output!C332)),1/8),fract[],2,FALSE))&amp;"''","")),"")</f>
        <v/>
      </c>
      <c r="D333" s="9" t="str">
        <f>IF(ISNUMBER(Output!D332),IFERROR(ROUND(INT(Output!D332/12),3)&amp;"'-"&amp;INT(ROUND((Output!D332/12-INT(Output!D332/12))*12,3))&amp;" "&amp;IF(MROUND(ROUND((Output!D332/12-INT(Output!D332/12))*12,3)-INT(ROUND((Output!D332/12-INT(Output!D332/12))*12,3)),1/8)=0,"",VLOOKUP(MROUND((Output!D332/12-INT(Output!D332/12))*12-INT((Output!D332/12-INT(Output!D332/12))*12),1/8),fract[],2,FALSE))&amp;"''",""),"")</f>
        <v/>
      </c>
      <c r="E333" s="9" t="str">
        <f>IF(ISNUMBER(Output!E332),IF(Output!E332&gt;=12,IFERROR(ROUND(INT(Output!E332)/12,0)&amp;"'-"&amp;INT(ROUND((Output!E332/12-INT(Output!E332/12))*12,2))&amp;" "&amp;IF(MROUND(ROUND((Output!E332/12-INT(Output!E332/12))*12,3)-INT(ROUND((Output!E332/12-INT(Output!E332/12))*12,3)),1/8)=0,"",VLOOKUP(MROUND((Output!E332/12-INT(Output!E332/12))*12-INT((Output!E332/12-INT(Output!E332/12))*12),1/8),fract[],2,FALSE))&amp;"''",""),IFERROR(INT(Output!E332)&amp;" "&amp;IF(MROUND((Output!E332-INT(Output!E332)),1/8)=0,"",VLOOKUP(MROUND((Output!E332-INT(Output!E332)),1/8),fract[],2,FALSE))&amp;"''","")),"")</f>
        <v/>
      </c>
      <c r="F333" s="8"/>
      <c r="G333" s="8"/>
      <c r="H333" s="9" t="str">
        <f t="shared" si="10"/>
        <v/>
      </c>
      <c r="I333" s="9" t="str">
        <f t="shared" si="11"/>
        <v/>
      </c>
      <c r="J333" s="12" t="str">
        <f>IF(ISNUMBER(Output!F332),Output!F332,"")</f>
        <v/>
      </c>
      <c r="K333" s="12" t="str">
        <f>IF(ISNUMBER(Output!G332),Output!G332,"")</f>
        <v/>
      </c>
    </row>
    <row r="334" spans="1:11" x14ac:dyDescent="0.25">
      <c r="A334" s="9" t="str">
        <f>IF(ISBLANK(Output!A333),"",Output!A333)</f>
        <v/>
      </c>
      <c r="B334" s="9" t="str">
        <f>IF(ISBLANK(Output!B333),"",Output!B333)</f>
        <v/>
      </c>
      <c r="C334" s="9" t="str">
        <f>IF(ISNUMBER(Output!C333),IF(Output!C333&gt;=12,IFERROR(ROUND(INT(Output!C333)/12,0)&amp;"'-"&amp;INT(ROUND((Output!C333/12-INT(Output!C333/12))*12,2))&amp;" "&amp;IF(MROUND(ROUND((Output!C333/12-INT(Output!C333/12))*12,3)-INT(ROUND((Output!C333/12-INT(Output!C333/12))*12,3)),1/8)=0,"",VLOOKUP(MROUND((Output!C333/12-INT(Output!C333/12))*12-INT((Output!C333/12-INT(Output!C333/12))*12),1/8),fract[],2,FALSE))&amp;"''",""),IFERROR(INT(Output!C333)&amp;" "&amp;IF(MROUND((Output!C333-INT(Output!C333)),1/8)=0,"",VLOOKUP(MROUND((Output!C333-INT(Output!C333)),1/8),fract[],2,FALSE))&amp;"''","")),"")</f>
        <v/>
      </c>
      <c r="D334" s="9" t="str">
        <f>IF(ISNUMBER(Output!D333),IFERROR(ROUND(INT(Output!D333/12),3)&amp;"'-"&amp;INT(ROUND((Output!D333/12-INT(Output!D333/12))*12,3))&amp;" "&amp;IF(MROUND(ROUND((Output!D333/12-INT(Output!D333/12))*12,3)-INT(ROUND((Output!D333/12-INT(Output!D333/12))*12,3)),1/8)=0,"",VLOOKUP(MROUND((Output!D333/12-INT(Output!D333/12))*12-INT((Output!D333/12-INT(Output!D333/12))*12),1/8),fract[],2,FALSE))&amp;"''",""),"")</f>
        <v/>
      </c>
      <c r="E334" s="9" t="str">
        <f>IF(ISNUMBER(Output!E333),IF(Output!E333&gt;=12,IFERROR(ROUND(INT(Output!E333)/12,0)&amp;"'-"&amp;INT(ROUND((Output!E333/12-INT(Output!E333/12))*12,2))&amp;" "&amp;IF(MROUND(ROUND((Output!E333/12-INT(Output!E333/12))*12,3)-INT(ROUND((Output!E333/12-INT(Output!E333/12))*12,3)),1/8)=0,"",VLOOKUP(MROUND((Output!E333/12-INT(Output!E333/12))*12-INT((Output!E333/12-INT(Output!E333/12))*12),1/8),fract[],2,FALSE))&amp;"''",""),IFERROR(INT(Output!E333)&amp;" "&amp;IF(MROUND((Output!E333-INT(Output!E333)),1/8)=0,"",VLOOKUP(MROUND((Output!E333-INT(Output!E333)),1/8),fract[],2,FALSE))&amp;"''","")),"")</f>
        <v/>
      </c>
      <c r="F334" s="8"/>
      <c r="G334" s="8"/>
      <c r="H334" s="9" t="str">
        <f t="shared" si="10"/>
        <v/>
      </c>
      <c r="I334" s="9" t="str">
        <f t="shared" si="11"/>
        <v/>
      </c>
      <c r="J334" s="12" t="str">
        <f>IF(ISNUMBER(Output!F333),Output!F333,"")</f>
        <v/>
      </c>
      <c r="K334" s="12" t="str">
        <f>IF(ISNUMBER(Output!G333),Output!G333,"")</f>
        <v/>
      </c>
    </row>
    <row r="335" spans="1:11" x14ac:dyDescent="0.25">
      <c r="A335" s="9" t="str">
        <f>IF(ISBLANK(Output!A334),"",Output!A334)</f>
        <v/>
      </c>
      <c r="B335" s="9" t="str">
        <f>IF(ISBLANK(Output!B334),"",Output!B334)</f>
        <v/>
      </c>
      <c r="C335" s="9" t="str">
        <f>IF(ISNUMBER(Output!C334),IF(Output!C334&gt;=12,IFERROR(ROUND(INT(Output!C334)/12,0)&amp;"'-"&amp;INT(ROUND((Output!C334/12-INT(Output!C334/12))*12,2))&amp;" "&amp;IF(MROUND(ROUND((Output!C334/12-INT(Output!C334/12))*12,3)-INT(ROUND((Output!C334/12-INT(Output!C334/12))*12,3)),1/8)=0,"",VLOOKUP(MROUND((Output!C334/12-INT(Output!C334/12))*12-INT((Output!C334/12-INT(Output!C334/12))*12),1/8),fract[],2,FALSE))&amp;"''",""),IFERROR(INT(Output!C334)&amp;" "&amp;IF(MROUND((Output!C334-INT(Output!C334)),1/8)=0,"",VLOOKUP(MROUND((Output!C334-INT(Output!C334)),1/8),fract[],2,FALSE))&amp;"''","")),"")</f>
        <v/>
      </c>
      <c r="D335" s="9" t="str">
        <f>IF(ISNUMBER(Output!D334),IFERROR(ROUND(INT(Output!D334/12),3)&amp;"'-"&amp;INT(ROUND((Output!D334/12-INT(Output!D334/12))*12,3))&amp;" "&amp;IF(MROUND(ROUND((Output!D334/12-INT(Output!D334/12))*12,3)-INT(ROUND((Output!D334/12-INT(Output!D334/12))*12,3)),1/8)=0,"",VLOOKUP(MROUND((Output!D334/12-INT(Output!D334/12))*12-INT((Output!D334/12-INT(Output!D334/12))*12),1/8),fract[],2,FALSE))&amp;"''",""),"")</f>
        <v/>
      </c>
      <c r="E335" s="9" t="str">
        <f>IF(ISNUMBER(Output!E334),IF(Output!E334&gt;=12,IFERROR(ROUND(INT(Output!E334)/12,0)&amp;"'-"&amp;INT(ROUND((Output!E334/12-INT(Output!E334/12))*12,2))&amp;" "&amp;IF(MROUND(ROUND((Output!E334/12-INT(Output!E334/12))*12,3)-INT(ROUND((Output!E334/12-INT(Output!E334/12))*12,3)),1/8)=0,"",VLOOKUP(MROUND((Output!E334/12-INT(Output!E334/12))*12-INT((Output!E334/12-INT(Output!E334/12))*12),1/8),fract[],2,FALSE))&amp;"''",""),IFERROR(INT(Output!E334)&amp;" "&amp;IF(MROUND((Output!E334-INT(Output!E334)),1/8)=0,"",VLOOKUP(MROUND((Output!E334-INT(Output!E334)),1/8),fract[],2,FALSE))&amp;"''","")),"")</f>
        <v/>
      </c>
      <c r="F335" s="8"/>
      <c r="G335" s="8"/>
      <c r="H335" s="9" t="str">
        <f t="shared" si="10"/>
        <v/>
      </c>
      <c r="I335" s="9" t="str">
        <f t="shared" si="11"/>
        <v/>
      </c>
      <c r="J335" s="12" t="str">
        <f>IF(ISNUMBER(Output!F334),Output!F334,"")</f>
        <v/>
      </c>
      <c r="K335" s="12" t="str">
        <f>IF(ISNUMBER(Output!G334),Output!G334,"")</f>
        <v/>
      </c>
    </row>
    <row r="336" spans="1:11" x14ac:dyDescent="0.25">
      <c r="A336" s="9" t="str">
        <f>IF(ISBLANK(Output!A335),"",Output!A335)</f>
        <v/>
      </c>
      <c r="B336" s="9" t="str">
        <f>IF(ISBLANK(Output!B335),"",Output!B335)</f>
        <v/>
      </c>
      <c r="C336" s="9" t="str">
        <f>IF(ISNUMBER(Output!C335),IF(Output!C335&gt;=12,IFERROR(ROUND(INT(Output!C335)/12,0)&amp;"'-"&amp;INT(ROUND((Output!C335/12-INT(Output!C335/12))*12,2))&amp;" "&amp;IF(MROUND(ROUND((Output!C335/12-INT(Output!C335/12))*12,3)-INT(ROUND((Output!C335/12-INT(Output!C335/12))*12,3)),1/8)=0,"",VLOOKUP(MROUND((Output!C335/12-INT(Output!C335/12))*12-INT((Output!C335/12-INT(Output!C335/12))*12),1/8),fract[],2,FALSE))&amp;"''",""),IFERROR(INT(Output!C335)&amp;" "&amp;IF(MROUND((Output!C335-INT(Output!C335)),1/8)=0,"",VLOOKUP(MROUND((Output!C335-INT(Output!C335)),1/8),fract[],2,FALSE))&amp;"''","")),"")</f>
        <v/>
      </c>
      <c r="D336" s="9" t="str">
        <f>IF(ISNUMBER(Output!D335),IFERROR(ROUND(INT(Output!D335/12),3)&amp;"'-"&amp;INT(ROUND((Output!D335/12-INT(Output!D335/12))*12,3))&amp;" "&amp;IF(MROUND(ROUND((Output!D335/12-INT(Output!D335/12))*12,3)-INT(ROUND((Output!D335/12-INT(Output!D335/12))*12,3)),1/8)=0,"",VLOOKUP(MROUND((Output!D335/12-INT(Output!D335/12))*12-INT((Output!D335/12-INT(Output!D335/12))*12),1/8),fract[],2,FALSE))&amp;"''",""),"")</f>
        <v/>
      </c>
      <c r="E336" s="9" t="str">
        <f>IF(ISNUMBER(Output!E335),IF(Output!E335&gt;=12,IFERROR(ROUND(INT(Output!E335)/12,0)&amp;"'-"&amp;INT(ROUND((Output!E335/12-INT(Output!E335/12))*12,2))&amp;" "&amp;IF(MROUND(ROUND((Output!E335/12-INT(Output!E335/12))*12,3)-INT(ROUND((Output!E335/12-INT(Output!E335/12))*12,3)),1/8)=0,"",VLOOKUP(MROUND((Output!E335/12-INT(Output!E335/12))*12-INT((Output!E335/12-INT(Output!E335/12))*12),1/8),fract[],2,FALSE))&amp;"''",""),IFERROR(INT(Output!E335)&amp;" "&amp;IF(MROUND((Output!E335-INT(Output!E335)),1/8)=0,"",VLOOKUP(MROUND((Output!E335-INT(Output!E335)),1/8),fract[],2,FALSE))&amp;"''","")),"")</f>
        <v/>
      </c>
      <c r="F336" s="8"/>
      <c r="G336" s="8"/>
      <c r="H336" s="9" t="str">
        <f t="shared" si="10"/>
        <v/>
      </c>
      <c r="I336" s="9" t="str">
        <f t="shared" si="11"/>
        <v/>
      </c>
      <c r="J336" s="12" t="str">
        <f>IF(ISNUMBER(Output!F335),Output!F335,"")</f>
        <v/>
      </c>
      <c r="K336" s="12" t="str">
        <f>IF(ISNUMBER(Output!G335),Output!G335,"")</f>
        <v/>
      </c>
    </row>
    <row r="337" spans="1:11" x14ac:dyDescent="0.25">
      <c r="A337" s="9" t="str">
        <f>IF(ISBLANK(Output!A336),"",Output!A336)</f>
        <v/>
      </c>
      <c r="B337" s="9" t="str">
        <f>IF(ISBLANK(Output!B336),"",Output!B336)</f>
        <v/>
      </c>
      <c r="C337" s="9" t="str">
        <f>IF(ISNUMBER(Output!C336),IF(Output!C336&gt;=12,IFERROR(ROUND(INT(Output!C336)/12,0)&amp;"'-"&amp;INT(ROUND((Output!C336/12-INT(Output!C336/12))*12,2))&amp;" "&amp;IF(MROUND(ROUND((Output!C336/12-INT(Output!C336/12))*12,3)-INT(ROUND((Output!C336/12-INT(Output!C336/12))*12,3)),1/8)=0,"",VLOOKUP(MROUND((Output!C336/12-INT(Output!C336/12))*12-INT((Output!C336/12-INT(Output!C336/12))*12),1/8),fract[],2,FALSE))&amp;"''",""),IFERROR(INT(Output!C336)&amp;" "&amp;IF(MROUND((Output!C336-INT(Output!C336)),1/8)=0,"",VLOOKUP(MROUND((Output!C336-INT(Output!C336)),1/8),fract[],2,FALSE))&amp;"''","")),"")</f>
        <v/>
      </c>
      <c r="D337" s="9" t="str">
        <f>IF(ISNUMBER(Output!D336),IFERROR(ROUND(INT(Output!D336/12),3)&amp;"'-"&amp;INT(ROUND((Output!D336/12-INT(Output!D336/12))*12,3))&amp;" "&amp;IF(MROUND(ROUND((Output!D336/12-INT(Output!D336/12))*12,3)-INT(ROUND((Output!D336/12-INT(Output!D336/12))*12,3)),1/8)=0,"",VLOOKUP(MROUND((Output!D336/12-INT(Output!D336/12))*12-INT((Output!D336/12-INT(Output!D336/12))*12),1/8),fract[],2,FALSE))&amp;"''",""),"")</f>
        <v/>
      </c>
      <c r="E337" s="9" t="str">
        <f>IF(ISNUMBER(Output!E336),IF(Output!E336&gt;=12,IFERROR(ROUND(INT(Output!E336)/12,0)&amp;"'-"&amp;INT(ROUND((Output!E336/12-INT(Output!E336/12))*12,2))&amp;" "&amp;IF(MROUND(ROUND((Output!E336/12-INT(Output!E336/12))*12,3)-INT(ROUND((Output!E336/12-INT(Output!E336/12))*12,3)),1/8)=0,"",VLOOKUP(MROUND((Output!E336/12-INT(Output!E336/12))*12-INT((Output!E336/12-INT(Output!E336/12))*12),1/8),fract[],2,FALSE))&amp;"''",""),IFERROR(INT(Output!E336)&amp;" "&amp;IF(MROUND((Output!E336-INT(Output!E336)),1/8)=0,"",VLOOKUP(MROUND((Output!E336-INT(Output!E336)),1/8),fract[],2,FALSE))&amp;"''","")),"")</f>
        <v/>
      </c>
      <c r="F337" s="8"/>
      <c r="G337" s="8"/>
      <c r="H337" s="9" t="str">
        <f t="shared" si="10"/>
        <v/>
      </c>
      <c r="I337" s="9" t="str">
        <f t="shared" si="11"/>
        <v/>
      </c>
      <c r="J337" s="12" t="str">
        <f>IF(ISNUMBER(Output!F336),Output!F336,"")</f>
        <v/>
      </c>
      <c r="K337" s="12" t="str">
        <f>IF(ISNUMBER(Output!G336),Output!G336,"")</f>
        <v/>
      </c>
    </row>
    <row r="338" spans="1:11" x14ac:dyDescent="0.25">
      <c r="A338" s="9" t="str">
        <f>IF(ISBLANK(Output!A337),"",Output!A337)</f>
        <v/>
      </c>
      <c r="B338" s="9" t="str">
        <f>IF(ISBLANK(Output!B337),"",Output!B337)</f>
        <v/>
      </c>
      <c r="C338" s="9" t="str">
        <f>IF(ISNUMBER(Output!C337),IF(Output!C337&gt;=12,IFERROR(ROUND(INT(Output!C337)/12,0)&amp;"'-"&amp;INT(ROUND((Output!C337/12-INT(Output!C337/12))*12,2))&amp;" "&amp;IF(MROUND(ROUND((Output!C337/12-INT(Output!C337/12))*12,3)-INT(ROUND((Output!C337/12-INT(Output!C337/12))*12,3)),1/8)=0,"",VLOOKUP(MROUND((Output!C337/12-INT(Output!C337/12))*12-INT((Output!C337/12-INT(Output!C337/12))*12),1/8),fract[],2,FALSE))&amp;"''",""),IFERROR(INT(Output!C337)&amp;" "&amp;IF(MROUND((Output!C337-INT(Output!C337)),1/8)=0,"",VLOOKUP(MROUND((Output!C337-INT(Output!C337)),1/8),fract[],2,FALSE))&amp;"''","")),"")</f>
        <v/>
      </c>
      <c r="D338" s="9" t="str">
        <f>IF(ISNUMBER(Output!D337),IFERROR(ROUND(INT(Output!D337/12),3)&amp;"'-"&amp;INT(ROUND((Output!D337/12-INT(Output!D337/12))*12,3))&amp;" "&amp;IF(MROUND(ROUND((Output!D337/12-INT(Output!D337/12))*12,3)-INT(ROUND((Output!D337/12-INT(Output!D337/12))*12,3)),1/8)=0,"",VLOOKUP(MROUND((Output!D337/12-INT(Output!D337/12))*12-INT((Output!D337/12-INT(Output!D337/12))*12),1/8),fract[],2,FALSE))&amp;"''",""),"")</f>
        <v/>
      </c>
      <c r="E338" s="9" t="str">
        <f>IF(ISNUMBER(Output!E337),IF(Output!E337&gt;=12,IFERROR(ROUND(INT(Output!E337)/12,0)&amp;"'-"&amp;INT(ROUND((Output!E337/12-INT(Output!E337/12))*12,2))&amp;" "&amp;IF(MROUND(ROUND((Output!E337/12-INT(Output!E337/12))*12,3)-INT(ROUND((Output!E337/12-INT(Output!E337/12))*12,3)),1/8)=0,"",VLOOKUP(MROUND((Output!E337/12-INT(Output!E337/12))*12-INT((Output!E337/12-INT(Output!E337/12))*12),1/8),fract[],2,FALSE))&amp;"''",""),IFERROR(INT(Output!E337)&amp;" "&amp;IF(MROUND((Output!E337-INT(Output!E337)),1/8)=0,"",VLOOKUP(MROUND((Output!E337-INT(Output!E337)),1/8),fract[],2,FALSE))&amp;"''","")),"")</f>
        <v/>
      </c>
      <c r="F338" s="8"/>
      <c r="G338" s="8"/>
      <c r="H338" s="9" t="str">
        <f t="shared" si="10"/>
        <v/>
      </c>
      <c r="I338" s="9" t="str">
        <f t="shared" si="11"/>
        <v/>
      </c>
      <c r="J338" s="12" t="str">
        <f>IF(ISNUMBER(Output!F337),Output!F337,"")</f>
        <v/>
      </c>
      <c r="K338" s="12" t="str">
        <f>IF(ISNUMBER(Output!G337),Output!G337,"")</f>
        <v/>
      </c>
    </row>
    <row r="339" spans="1:11" x14ac:dyDescent="0.25">
      <c r="A339" s="9" t="str">
        <f>IF(ISBLANK(Output!A338),"",Output!A338)</f>
        <v/>
      </c>
      <c r="B339" s="9" t="str">
        <f>IF(ISBLANK(Output!B338),"",Output!B338)</f>
        <v/>
      </c>
      <c r="C339" s="9" t="str">
        <f>IF(ISNUMBER(Output!C338),IF(Output!C338&gt;=12,IFERROR(ROUND(INT(Output!C338)/12,0)&amp;"'-"&amp;INT(ROUND((Output!C338/12-INT(Output!C338/12))*12,2))&amp;" "&amp;IF(MROUND(ROUND((Output!C338/12-INT(Output!C338/12))*12,3)-INT(ROUND((Output!C338/12-INT(Output!C338/12))*12,3)),1/8)=0,"",VLOOKUP(MROUND((Output!C338/12-INT(Output!C338/12))*12-INT((Output!C338/12-INT(Output!C338/12))*12),1/8),fract[],2,FALSE))&amp;"''",""),IFERROR(INT(Output!C338)&amp;" "&amp;IF(MROUND((Output!C338-INT(Output!C338)),1/8)=0,"",VLOOKUP(MROUND((Output!C338-INT(Output!C338)),1/8),fract[],2,FALSE))&amp;"''","")),"")</f>
        <v/>
      </c>
      <c r="D339" s="9" t="str">
        <f>IF(ISNUMBER(Output!D338),IFERROR(ROUND(INT(Output!D338/12),3)&amp;"'-"&amp;INT(ROUND((Output!D338/12-INT(Output!D338/12))*12,3))&amp;" "&amp;IF(MROUND(ROUND((Output!D338/12-INT(Output!D338/12))*12,3)-INT(ROUND((Output!D338/12-INT(Output!D338/12))*12,3)),1/8)=0,"",VLOOKUP(MROUND((Output!D338/12-INT(Output!D338/12))*12-INT((Output!D338/12-INT(Output!D338/12))*12),1/8),fract[],2,FALSE))&amp;"''",""),"")</f>
        <v/>
      </c>
      <c r="E339" s="9" t="str">
        <f>IF(ISNUMBER(Output!E338),IF(Output!E338&gt;=12,IFERROR(ROUND(INT(Output!E338)/12,0)&amp;"'-"&amp;INT(ROUND((Output!E338/12-INT(Output!E338/12))*12,2))&amp;" "&amp;IF(MROUND(ROUND((Output!E338/12-INT(Output!E338/12))*12,3)-INT(ROUND((Output!E338/12-INT(Output!E338/12))*12,3)),1/8)=0,"",VLOOKUP(MROUND((Output!E338/12-INT(Output!E338/12))*12-INT((Output!E338/12-INT(Output!E338/12))*12),1/8),fract[],2,FALSE))&amp;"''",""),IFERROR(INT(Output!E338)&amp;" "&amp;IF(MROUND((Output!E338-INT(Output!E338)),1/8)=0,"",VLOOKUP(MROUND((Output!E338-INT(Output!E338)),1/8),fract[],2,FALSE))&amp;"''","")),"")</f>
        <v/>
      </c>
      <c r="F339" s="8"/>
      <c r="G339" s="8"/>
      <c r="H339" s="9" t="str">
        <f t="shared" si="10"/>
        <v/>
      </c>
      <c r="I339" s="9" t="str">
        <f t="shared" si="11"/>
        <v/>
      </c>
      <c r="J339" s="12" t="str">
        <f>IF(ISNUMBER(Output!F338),Output!F338,"")</f>
        <v/>
      </c>
      <c r="K339" s="12" t="str">
        <f>IF(ISNUMBER(Output!G338),Output!G338,"")</f>
        <v/>
      </c>
    </row>
    <row r="340" spans="1:11" x14ac:dyDescent="0.25">
      <c r="A340" s="9" t="str">
        <f>IF(ISBLANK(Output!A339),"",Output!A339)</f>
        <v/>
      </c>
      <c r="B340" s="9" t="str">
        <f>IF(ISBLANK(Output!B339),"",Output!B339)</f>
        <v/>
      </c>
      <c r="C340" s="9" t="str">
        <f>IF(ISNUMBER(Output!C339),IF(Output!C339&gt;=12,IFERROR(ROUND(INT(Output!C339)/12,0)&amp;"'-"&amp;INT(ROUND((Output!C339/12-INT(Output!C339/12))*12,2))&amp;" "&amp;IF(MROUND(ROUND((Output!C339/12-INT(Output!C339/12))*12,3)-INT(ROUND((Output!C339/12-INT(Output!C339/12))*12,3)),1/8)=0,"",VLOOKUP(MROUND((Output!C339/12-INT(Output!C339/12))*12-INT((Output!C339/12-INT(Output!C339/12))*12),1/8),fract[],2,FALSE))&amp;"''",""),IFERROR(INT(Output!C339)&amp;" "&amp;IF(MROUND((Output!C339-INT(Output!C339)),1/8)=0,"",VLOOKUP(MROUND((Output!C339-INT(Output!C339)),1/8),fract[],2,FALSE))&amp;"''","")),"")</f>
        <v/>
      </c>
      <c r="D340" s="9" t="str">
        <f>IF(ISNUMBER(Output!D339),IFERROR(ROUND(INT(Output!D339/12),3)&amp;"'-"&amp;INT(ROUND((Output!D339/12-INT(Output!D339/12))*12,3))&amp;" "&amp;IF(MROUND(ROUND((Output!D339/12-INT(Output!D339/12))*12,3)-INT(ROUND((Output!D339/12-INT(Output!D339/12))*12,3)),1/8)=0,"",VLOOKUP(MROUND((Output!D339/12-INT(Output!D339/12))*12-INT((Output!D339/12-INT(Output!D339/12))*12),1/8),fract[],2,FALSE))&amp;"''",""),"")</f>
        <v/>
      </c>
      <c r="E340" s="9" t="str">
        <f>IF(ISNUMBER(Output!E339),IF(Output!E339&gt;=12,IFERROR(ROUND(INT(Output!E339)/12,0)&amp;"'-"&amp;INT(ROUND((Output!E339/12-INT(Output!E339/12))*12,2))&amp;" "&amp;IF(MROUND(ROUND((Output!E339/12-INT(Output!E339/12))*12,3)-INT(ROUND((Output!E339/12-INT(Output!E339/12))*12,3)),1/8)=0,"",VLOOKUP(MROUND((Output!E339/12-INT(Output!E339/12))*12-INT((Output!E339/12-INT(Output!E339/12))*12),1/8),fract[],2,FALSE))&amp;"''",""),IFERROR(INT(Output!E339)&amp;" "&amp;IF(MROUND((Output!E339-INT(Output!E339)),1/8)=0,"",VLOOKUP(MROUND((Output!E339-INT(Output!E339)),1/8),fract[],2,FALSE))&amp;"''","")),"")</f>
        <v/>
      </c>
      <c r="F340" s="8"/>
      <c r="G340" s="8"/>
      <c r="H340" s="9" t="str">
        <f t="shared" si="10"/>
        <v/>
      </c>
      <c r="I340" s="9" t="str">
        <f t="shared" si="11"/>
        <v/>
      </c>
      <c r="J340" s="12" t="str">
        <f>IF(ISNUMBER(Output!F339),Output!F339,"")</f>
        <v/>
      </c>
      <c r="K340" s="12" t="str">
        <f>IF(ISNUMBER(Output!G339),Output!G339,"")</f>
        <v/>
      </c>
    </row>
    <row r="341" spans="1:11" x14ac:dyDescent="0.25">
      <c r="A341" s="9" t="str">
        <f>IF(ISBLANK(Output!A340),"",Output!A340)</f>
        <v/>
      </c>
      <c r="B341" s="9" t="str">
        <f>IF(ISBLANK(Output!B340),"",Output!B340)</f>
        <v/>
      </c>
      <c r="C341" s="9" t="str">
        <f>IF(ISNUMBER(Output!C340),IF(Output!C340&gt;=12,IFERROR(ROUND(INT(Output!C340)/12,0)&amp;"'-"&amp;INT(ROUND((Output!C340/12-INT(Output!C340/12))*12,2))&amp;" "&amp;IF(MROUND(ROUND((Output!C340/12-INT(Output!C340/12))*12,3)-INT(ROUND((Output!C340/12-INT(Output!C340/12))*12,3)),1/8)=0,"",VLOOKUP(MROUND((Output!C340/12-INT(Output!C340/12))*12-INT((Output!C340/12-INT(Output!C340/12))*12),1/8),fract[],2,FALSE))&amp;"''",""),IFERROR(INT(Output!C340)&amp;" "&amp;IF(MROUND((Output!C340-INT(Output!C340)),1/8)=0,"",VLOOKUP(MROUND((Output!C340-INT(Output!C340)),1/8),fract[],2,FALSE))&amp;"''","")),"")</f>
        <v/>
      </c>
      <c r="D341" s="9" t="str">
        <f>IF(ISNUMBER(Output!D340),IFERROR(ROUND(INT(Output!D340/12),3)&amp;"'-"&amp;INT(ROUND((Output!D340/12-INT(Output!D340/12))*12,3))&amp;" "&amp;IF(MROUND(ROUND((Output!D340/12-INT(Output!D340/12))*12,3)-INT(ROUND((Output!D340/12-INT(Output!D340/12))*12,3)),1/8)=0,"",VLOOKUP(MROUND((Output!D340/12-INT(Output!D340/12))*12-INT((Output!D340/12-INT(Output!D340/12))*12),1/8),fract[],2,FALSE))&amp;"''",""),"")</f>
        <v/>
      </c>
      <c r="E341" s="9" t="str">
        <f>IF(ISNUMBER(Output!E340),IF(Output!E340&gt;=12,IFERROR(ROUND(INT(Output!E340)/12,0)&amp;"'-"&amp;INT(ROUND((Output!E340/12-INT(Output!E340/12))*12,2))&amp;" "&amp;IF(MROUND(ROUND((Output!E340/12-INT(Output!E340/12))*12,3)-INT(ROUND((Output!E340/12-INT(Output!E340/12))*12,3)),1/8)=0,"",VLOOKUP(MROUND((Output!E340/12-INT(Output!E340/12))*12-INT((Output!E340/12-INT(Output!E340/12))*12),1/8),fract[],2,FALSE))&amp;"''",""),IFERROR(INT(Output!E340)&amp;" "&amp;IF(MROUND((Output!E340-INT(Output!E340)),1/8)=0,"",VLOOKUP(MROUND((Output!E340-INT(Output!E340)),1/8),fract[],2,FALSE))&amp;"''","")),"")</f>
        <v/>
      </c>
      <c r="F341" s="8"/>
      <c r="G341" s="8"/>
      <c r="H341" s="9" t="str">
        <f t="shared" si="10"/>
        <v/>
      </c>
      <c r="I341" s="9" t="str">
        <f t="shared" si="11"/>
        <v/>
      </c>
      <c r="J341" s="12" t="str">
        <f>IF(ISNUMBER(Output!F340),Output!F340,"")</f>
        <v/>
      </c>
      <c r="K341" s="12" t="str">
        <f>IF(ISNUMBER(Output!G340),Output!G340,"")</f>
        <v/>
      </c>
    </row>
    <row r="342" spans="1:11" x14ac:dyDescent="0.25">
      <c r="A342" s="9" t="str">
        <f>IF(ISBLANK(Output!A341),"",Output!A341)</f>
        <v/>
      </c>
      <c r="B342" s="9" t="str">
        <f>IF(ISBLANK(Output!B341),"",Output!B341)</f>
        <v/>
      </c>
      <c r="C342" s="9" t="str">
        <f>IF(ISNUMBER(Output!C341),IF(Output!C341&gt;=12,IFERROR(ROUND(INT(Output!C341)/12,0)&amp;"'-"&amp;INT(ROUND((Output!C341/12-INT(Output!C341/12))*12,2))&amp;" "&amp;IF(MROUND(ROUND((Output!C341/12-INT(Output!C341/12))*12,3)-INT(ROUND((Output!C341/12-INT(Output!C341/12))*12,3)),1/8)=0,"",VLOOKUP(MROUND((Output!C341/12-INT(Output!C341/12))*12-INT((Output!C341/12-INT(Output!C341/12))*12),1/8),fract[],2,FALSE))&amp;"''",""),IFERROR(INT(Output!C341)&amp;" "&amp;IF(MROUND((Output!C341-INT(Output!C341)),1/8)=0,"",VLOOKUP(MROUND((Output!C341-INT(Output!C341)),1/8),fract[],2,FALSE))&amp;"''","")),"")</f>
        <v/>
      </c>
      <c r="D342" s="9" t="str">
        <f>IF(ISNUMBER(Output!D341),IFERROR(ROUND(INT(Output!D341/12),3)&amp;"'-"&amp;INT(ROUND((Output!D341/12-INT(Output!D341/12))*12,3))&amp;" "&amp;IF(MROUND(ROUND((Output!D341/12-INT(Output!D341/12))*12,3)-INT(ROUND((Output!D341/12-INT(Output!D341/12))*12,3)),1/8)=0,"",VLOOKUP(MROUND((Output!D341/12-INT(Output!D341/12))*12-INT((Output!D341/12-INT(Output!D341/12))*12),1/8),fract[],2,FALSE))&amp;"''",""),"")</f>
        <v/>
      </c>
      <c r="E342" s="9" t="str">
        <f>IF(ISNUMBER(Output!E341),IF(Output!E341&gt;=12,IFERROR(ROUND(INT(Output!E341)/12,0)&amp;"'-"&amp;INT(ROUND((Output!E341/12-INT(Output!E341/12))*12,2))&amp;" "&amp;IF(MROUND(ROUND((Output!E341/12-INT(Output!E341/12))*12,3)-INT(ROUND((Output!E341/12-INT(Output!E341/12))*12,3)),1/8)=0,"",VLOOKUP(MROUND((Output!E341/12-INT(Output!E341/12))*12-INT((Output!E341/12-INT(Output!E341/12))*12),1/8),fract[],2,FALSE))&amp;"''",""),IFERROR(INT(Output!E341)&amp;" "&amp;IF(MROUND((Output!E341-INT(Output!E341)),1/8)=0,"",VLOOKUP(MROUND((Output!E341-INT(Output!E341)),1/8),fract[],2,FALSE))&amp;"''","")),"")</f>
        <v/>
      </c>
      <c r="F342" s="8"/>
      <c r="G342" s="8"/>
      <c r="H342" s="9" t="str">
        <f t="shared" si="10"/>
        <v/>
      </c>
      <c r="I342" s="9" t="str">
        <f t="shared" si="11"/>
        <v/>
      </c>
      <c r="J342" s="12" t="str">
        <f>IF(ISNUMBER(Output!F341),Output!F341,"")</f>
        <v/>
      </c>
      <c r="K342" s="12" t="str">
        <f>IF(ISNUMBER(Output!G341),Output!G341,"")</f>
        <v/>
      </c>
    </row>
    <row r="343" spans="1:11" x14ac:dyDescent="0.25">
      <c r="A343" s="9" t="str">
        <f>IF(ISBLANK(Output!A342),"",Output!A342)</f>
        <v/>
      </c>
      <c r="B343" s="9" t="str">
        <f>IF(ISBLANK(Output!B342),"",Output!B342)</f>
        <v/>
      </c>
      <c r="C343" s="9" t="str">
        <f>IF(ISNUMBER(Output!C342),IF(Output!C342&gt;=12,IFERROR(ROUND(INT(Output!C342)/12,0)&amp;"'-"&amp;INT(ROUND((Output!C342/12-INT(Output!C342/12))*12,2))&amp;" "&amp;IF(MROUND(ROUND((Output!C342/12-INT(Output!C342/12))*12,3)-INT(ROUND((Output!C342/12-INT(Output!C342/12))*12,3)),1/8)=0,"",VLOOKUP(MROUND((Output!C342/12-INT(Output!C342/12))*12-INT((Output!C342/12-INT(Output!C342/12))*12),1/8),fract[],2,FALSE))&amp;"''",""),IFERROR(INT(Output!C342)&amp;" "&amp;IF(MROUND((Output!C342-INT(Output!C342)),1/8)=0,"",VLOOKUP(MROUND((Output!C342-INT(Output!C342)),1/8),fract[],2,FALSE))&amp;"''","")),"")</f>
        <v/>
      </c>
      <c r="D343" s="9" t="str">
        <f>IF(ISNUMBER(Output!D342),IFERROR(ROUND(INT(Output!D342/12),3)&amp;"'-"&amp;INT(ROUND((Output!D342/12-INT(Output!D342/12))*12,3))&amp;" "&amp;IF(MROUND(ROUND((Output!D342/12-INT(Output!D342/12))*12,3)-INT(ROUND((Output!D342/12-INT(Output!D342/12))*12,3)),1/8)=0,"",VLOOKUP(MROUND((Output!D342/12-INT(Output!D342/12))*12-INT((Output!D342/12-INT(Output!D342/12))*12),1/8),fract[],2,FALSE))&amp;"''",""),"")</f>
        <v/>
      </c>
      <c r="E343" s="9" t="str">
        <f>IF(ISNUMBER(Output!E342),IF(Output!E342&gt;=12,IFERROR(ROUND(INT(Output!E342)/12,0)&amp;"'-"&amp;INT(ROUND((Output!E342/12-INT(Output!E342/12))*12,2))&amp;" "&amp;IF(MROUND(ROUND((Output!E342/12-INT(Output!E342/12))*12,3)-INT(ROUND((Output!E342/12-INT(Output!E342/12))*12,3)),1/8)=0,"",VLOOKUP(MROUND((Output!E342/12-INT(Output!E342/12))*12-INT((Output!E342/12-INT(Output!E342/12))*12),1/8),fract[],2,FALSE))&amp;"''",""),IFERROR(INT(Output!E342)&amp;" "&amp;IF(MROUND((Output!E342-INT(Output!E342)),1/8)=0,"",VLOOKUP(MROUND((Output!E342-INT(Output!E342)),1/8),fract[],2,FALSE))&amp;"''","")),"")</f>
        <v/>
      </c>
      <c r="F343" s="8"/>
      <c r="G343" s="8"/>
      <c r="H343" s="9" t="str">
        <f t="shared" si="10"/>
        <v/>
      </c>
      <c r="I343" s="9" t="str">
        <f t="shared" si="11"/>
        <v/>
      </c>
      <c r="J343" s="12" t="str">
        <f>IF(ISNUMBER(Output!F342),Output!F342,"")</f>
        <v/>
      </c>
      <c r="K343" s="12" t="str">
        <f>IF(ISNUMBER(Output!G342),Output!G342,"")</f>
        <v/>
      </c>
    </row>
    <row r="344" spans="1:11" ht="15.75" thickBot="1" x14ac:dyDescent="0.3">
      <c r="A344" s="10" t="str">
        <f>IF(ISBLANK(Output!A343),"",Output!A343)</f>
        <v/>
      </c>
      <c r="B344" s="10" t="str">
        <f>IF(ISBLANK(Output!B343),"",Output!B343)</f>
        <v/>
      </c>
      <c r="C344" s="10" t="str">
        <f>IF(ISNUMBER(Output!C343),IF(Output!C343&gt;=12,IFERROR(ROUND(INT(Output!C343)/12,0)&amp;"'-"&amp;INT(ROUND((Output!C343/12-INT(Output!C343/12))*12,2))&amp;" "&amp;IF(MROUND(ROUND((Output!C343/12-INT(Output!C343/12))*12,3)-INT(ROUND((Output!C343/12-INT(Output!C343/12))*12,3)),1/8)=0,"",VLOOKUP(MROUND((Output!C343/12-INT(Output!C343/12))*12-INT((Output!C343/12-INT(Output!C343/12))*12),1/8),fract[],2,FALSE))&amp;"''",""),IFERROR(INT(Output!C343)&amp;" "&amp;IF(MROUND((Output!C343-INT(Output!C343)),1/8)=0,"",VLOOKUP(MROUND((Output!C343-INT(Output!C343)),1/8),fract[],2,FALSE))&amp;"''","")),"")</f>
        <v/>
      </c>
      <c r="D344" s="10" t="str">
        <f>IF(ISNUMBER(Output!D343),IFERROR(ROUND(INT(Output!D343/12),3)&amp;"'-"&amp;INT(ROUND((Output!D343/12-INT(Output!D343/12))*12,3))&amp;" "&amp;IF(MROUND(ROUND((Output!D343/12-INT(Output!D343/12))*12,3)-INT(ROUND((Output!D343/12-INT(Output!D343/12))*12,3)),1/8)=0,"",VLOOKUP(MROUND((Output!D343/12-INT(Output!D343/12))*12-INT((Output!D343/12-INT(Output!D343/12))*12),1/8),fract[],2,FALSE))&amp;"''",""),"")</f>
        <v/>
      </c>
      <c r="E344" s="10" t="str">
        <f>IF(ISNUMBER(Output!E343),IF(Output!E343&gt;=12,IFERROR(ROUND(INT(Output!E343)/12,0)&amp;"'-"&amp;INT(ROUND((Output!E343/12-INT(Output!E343/12))*12,2))&amp;" "&amp;IF(MROUND(ROUND((Output!E343/12-INT(Output!E343/12))*12,3)-INT(ROUND((Output!E343/12-INT(Output!E343/12))*12,3)),1/8)=0,"",VLOOKUP(MROUND((Output!E343/12-INT(Output!E343/12))*12-INT((Output!E343/12-INT(Output!E343/12))*12),1/8),fract[],2,FALSE))&amp;"''",""),IFERROR(INT(Output!E343)&amp;" "&amp;IF(MROUND((Output!E343-INT(Output!E343)),1/8)=0,"",VLOOKUP(MROUND((Output!E343-INT(Output!E343)),1/8),fract[],2,FALSE))&amp;"''","")),"")</f>
        <v/>
      </c>
      <c r="F344" s="8"/>
      <c r="G344" s="8"/>
      <c r="H344" s="10" t="str">
        <f t="shared" si="10"/>
        <v/>
      </c>
      <c r="I344" s="10" t="str">
        <f t="shared" si="11"/>
        <v/>
      </c>
      <c r="J344" s="13" t="str">
        <f>IF(ISNUMBER(Output!F343),Output!F343,"")</f>
        <v/>
      </c>
      <c r="K344" s="13" t="str">
        <f>IF(ISNUMBER(Output!G343),Output!G343,"")</f>
        <v/>
      </c>
    </row>
    <row r="345" spans="1:11" ht="15.75" thickTop="1" x14ac:dyDescent="0.25"/>
  </sheetData>
  <mergeCells count="8">
    <mergeCell ref="H2:H3"/>
    <mergeCell ref="I2:I3"/>
    <mergeCell ref="A1:E1"/>
    <mergeCell ref="A2:A3"/>
    <mergeCell ref="B2:B3"/>
    <mergeCell ref="C2:C3"/>
    <mergeCell ref="D2:D3"/>
    <mergeCell ref="E2:E3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Output</vt:lpstr>
      <vt:lpstr>Paste-To-Cad</vt:lpstr>
      <vt:lpstr>A_Val</vt:lpstr>
      <vt:lpstr>B_Val</vt:lpstr>
      <vt:lpstr>BeamNo</vt:lpstr>
      <vt:lpstr>SpanNo</vt:lpstr>
      <vt:lpstr>X_Val</vt:lpstr>
      <vt:lpstr>Y_Val</vt:lpstr>
      <vt:lpstr>Z_Val</vt:lpstr>
    </vt:vector>
  </TitlesOfParts>
  <Company>Txdot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 Cuellar</dc:creator>
  <cp:lastModifiedBy>Edgar Cuellar</cp:lastModifiedBy>
  <dcterms:created xsi:type="dcterms:W3CDTF">2021-12-15T19:54:29Z</dcterms:created>
  <dcterms:modified xsi:type="dcterms:W3CDTF">2022-04-28T18:10:18Z</dcterms:modified>
</cp:coreProperties>
</file>