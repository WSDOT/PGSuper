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ecuellar\Desktop\"/>
    </mc:Choice>
  </mc:AlternateContent>
  <xr:revisionPtr revIDLastSave="0" documentId="8_{81A59B2E-7D98-4E43-A2CB-6CFDF60DF681}" xr6:coauthVersionLast="45" xr6:coauthVersionMax="45" xr10:uidLastSave="{00000000-0000-0000-0000-000000000000}"/>
  <bookViews>
    <workbookView xWindow="4410" yWindow="15" windowWidth="21600" windowHeight="11505" xr2:uid="{244D293F-3914-4C35-9F6A-5AE633457A82}"/>
  </bookViews>
  <sheets>
    <sheet name="Output" sheetId="1" r:id="rId1"/>
    <sheet name="Paste-To-Cad" sheetId="2" r:id="rId2"/>
  </sheets>
  <definedNames>
    <definedName name="A_Val">Output!$F$3</definedName>
    <definedName name="B_Val">Output!$G$3</definedName>
    <definedName name="BeamNo">Output!$B$3</definedName>
    <definedName name="SpanNo">Output!$A$3</definedName>
    <definedName name="X_Val">Output!$C$3</definedName>
    <definedName name="Y_Val">Output!$D$3</definedName>
    <definedName name="Z_Val">Output!$E$3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78" i="2" l="1"/>
  <c r="H178" i="2"/>
  <c r="I177" i="2"/>
  <c r="H177" i="2"/>
  <c r="I176" i="2"/>
  <c r="H176" i="2"/>
  <c r="I175" i="2"/>
  <c r="H175" i="2"/>
  <c r="I174" i="2"/>
  <c r="H174" i="2"/>
  <c r="I173" i="2"/>
  <c r="H173" i="2"/>
  <c r="I172" i="2"/>
  <c r="H172" i="2"/>
  <c r="I171" i="2"/>
  <c r="H171" i="2"/>
  <c r="I170" i="2"/>
  <c r="H170" i="2"/>
  <c r="I169" i="2"/>
  <c r="H169" i="2"/>
  <c r="I168" i="2"/>
  <c r="H168" i="2"/>
  <c r="I167" i="2"/>
  <c r="H167" i="2"/>
  <c r="I166" i="2"/>
  <c r="H166" i="2"/>
  <c r="I165" i="2"/>
  <c r="H165" i="2"/>
  <c r="I164" i="2"/>
  <c r="H164" i="2"/>
  <c r="I163" i="2"/>
  <c r="H163" i="2"/>
  <c r="I162" i="2"/>
  <c r="H162" i="2"/>
  <c r="I161" i="2"/>
  <c r="H161" i="2"/>
  <c r="I160" i="2"/>
  <c r="H160" i="2"/>
  <c r="I159" i="2"/>
  <c r="H159" i="2"/>
  <c r="I158" i="2"/>
  <c r="H158" i="2"/>
  <c r="I157" i="2"/>
  <c r="H157" i="2"/>
  <c r="I156" i="2"/>
  <c r="H156" i="2"/>
  <c r="I155" i="2"/>
  <c r="H155" i="2"/>
  <c r="I154" i="2"/>
  <c r="H154" i="2"/>
  <c r="I153" i="2"/>
  <c r="H153" i="2"/>
  <c r="I152" i="2"/>
  <c r="H152" i="2"/>
  <c r="I151" i="2"/>
  <c r="H151" i="2"/>
  <c r="I150" i="2"/>
  <c r="H150" i="2"/>
  <c r="I149" i="2"/>
  <c r="H149" i="2"/>
  <c r="I148" i="2"/>
  <c r="H148" i="2"/>
  <c r="I147" i="2"/>
  <c r="H147" i="2"/>
  <c r="I146" i="2"/>
  <c r="H146" i="2"/>
  <c r="I145" i="2"/>
  <c r="H145" i="2"/>
  <c r="I144" i="2"/>
  <c r="H144" i="2"/>
  <c r="I143" i="2"/>
  <c r="H143" i="2"/>
  <c r="I142" i="2"/>
  <c r="H142" i="2"/>
  <c r="I141" i="2"/>
  <c r="H141" i="2"/>
  <c r="I140" i="2"/>
  <c r="H140" i="2"/>
  <c r="I139" i="2"/>
  <c r="H139" i="2"/>
  <c r="I138" i="2"/>
  <c r="H138" i="2"/>
  <c r="I137" i="2"/>
  <c r="H137" i="2"/>
  <c r="I136" i="2"/>
  <c r="H136" i="2"/>
  <c r="I135" i="2"/>
  <c r="H135" i="2"/>
  <c r="I134" i="2"/>
  <c r="H134" i="2"/>
  <c r="I133" i="2"/>
  <c r="H133" i="2"/>
  <c r="I132" i="2"/>
  <c r="H132" i="2"/>
  <c r="I131" i="2"/>
  <c r="H131" i="2"/>
  <c r="I130" i="2"/>
  <c r="H130" i="2"/>
  <c r="I129" i="2"/>
  <c r="H129" i="2"/>
  <c r="I128" i="2"/>
  <c r="H128" i="2"/>
  <c r="I127" i="2"/>
  <c r="H127" i="2"/>
  <c r="I126" i="2"/>
  <c r="H126" i="2"/>
  <c r="I125" i="2"/>
  <c r="H125" i="2"/>
  <c r="I124" i="2"/>
  <c r="H124" i="2"/>
  <c r="I123" i="2"/>
  <c r="H123" i="2"/>
  <c r="I122" i="2"/>
  <c r="H122" i="2"/>
  <c r="I121" i="2"/>
  <c r="H121" i="2"/>
  <c r="I120" i="2"/>
  <c r="H120" i="2"/>
  <c r="I119" i="2"/>
  <c r="H119" i="2"/>
  <c r="I118" i="2"/>
  <c r="H118" i="2"/>
  <c r="I117" i="2"/>
  <c r="H117" i="2"/>
  <c r="I116" i="2"/>
  <c r="H116" i="2"/>
  <c r="I115" i="2"/>
  <c r="H115" i="2"/>
  <c r="I114" i="2"/>
  <c r="H114" i="2"/>
  <c r="I113" i="2"/>
  <c r="H113" i="2"/>
  <c r="I112" i="2"/>
  <c r="H112" i="2"/>
  <c r="I111" i="2"/>
  <c r="H111" i="2"/>
  <c r="I110" i="2"/>
  <c r="H110" i="2"/>
  <c r="I109" i="2"/>
  <c r="H109" i="2"/>
  <c r="I108" i="2"/>
  <c r="H108" i="2"/>
  <c r="I107" i="2"/>
  <c r="H107" i="2"/>
  <c r="I106" i="2"/>
  <c r="H106" i="2"/>
  <c r="I105" i="2"/>
  <c r="H105" i="2"/>
  <c r="I104" i="2"/>
  <c r="H104" i="2"/>
  <c r="I103" i="2"/>
  <c r="H103" i="2"/>
  <c r="I102" i="2"/>
  <c r="H102" i="2"/>
  <c r="I101" i="2"/>
  <c r="H101" i="2"/>
  <c r="I100" i="2"/>
  <c r="H100" i="2"/>
  <c r="I99" i="2"/>
  <c r="H99" i="2"/>
  <c r="I98" i="2"/>
  <c r="H98" i="2"/>
  <c r="I97" i="2"/>
  <c r="H97" i="2"/>
  <c r="I96" i="2"/>
  <c r="H96" i="2"/>
  <c r="I95" i="2"/>
  <c r="H95" i="2"/>
  <c r="I94" i="2"/>
  <c r="H94" i="2"/>
  <c r="I93" i="2"/>
  <c r="H93" i="2"/>
  <c r="I92" i="2"/>
  <c r="H92" i="2"/>
  <c r="I91" i="2"/>
  <c r="H91" i="2"/>
  <c r="I90" i="2"/>
  <c r="H90" i="2"/>
  <c r="I89" i="2"/>
  <c r="H89" i="2"/>
  <c r="I88" i="2"/>
  <c r="H88" i="2"/>
  <c r="I87" i="2"/>
  <c r="H87" i="2"/>
  <c r="I86" i="2"/>
  <c r="H86" i="2"/>
  <c r="I85" i="2"/>
  <c r="H85" i="2"/>
  <c r="I84" i="2"/>
  <c r="H84" i="2"/>
  <c r="I83" i="2"/>
  <c r="H83" i="2"/>
  <c r="I82" i="2"/>
  <c r="H82" i="2"/>
  <c r="I81" i="2"/>
  <c r="H81" i="2"/>
  <c r="I80" i="2"/>
  <c r="H80" i="2"/>
  <c r="I79" i="2"/>
  <c r="H79" i="2"/>
  <c r="I78" i="2"/>
  <c r="H78" i="2"/>
  <c r="I77" i="2"/>
  <c r="H77" i="2"/>
  <c r="I76" i="2"/>
  <c r="H76" i="2"/>
  <c r="I75" i="2"/>
  <c r="H75" i="2"/>
  <c r="I74" i="2"/>
  <c r="H74" i="2"/>
  <c r="I73" i="2"/>
  <c r="H73" i="2"/>
  <c r="I72" i="2"/>
  <c r="H72" i="2"/>
  <c r="I71" i="2"/>
  <c r="H71" i="2"/>
  <c r="I70" i="2"/>
  <c r="H70" i="2"/>
  <c r="I69" i="2"/>
  <c r="H69" i="2"/>
  <c r="I68" i="2"/>
  <c r="H68" i="2"/>
  <c r="I67" i="2"/>
  <c r="H67" i="2"/>
  <c r="I66" i="2"/>
  <c r="H66" i="2"/>
  <c r="I65" i="2"/>
  <c r="H65" i="2"/>
  <c r="I64" i="2"/>
  <c r="H64" i="2"/>
  <c r="I63" i="2"/>
  <c r="H63" i="2"/>
  <c r="I62" i="2"/>
  <c r="H62" i="2"/>
  <c r="I61" i="2"/>
  <c r="H61" i="2"/>
  <c r="I60" i="2"/>
  <c r="H60" i="2"/>
  <c r="I59" i="2"/>
  <c r="H59" i="2"/>
  <c r="I58" i="2"/>
  <c r="H58" i="2"/>
  <c r="I57" i="2"/>
  <c r="H57" i="2"/>
  <c r="I56" i="2"/>
  <c r="H56" i="2"/>
  <c r="I55" i="2"/>
  <c r="H55" i="2"/>
  <c r="I54" i="2"/>
  <c r="H54" i="2"/>
  <c r="I53" i="2"/>
  <c r="H53" i="2"/>
  <c r="I52" i="2"/>
  <c r="H52" i="2"/>
  <c r="I51" i="2"/>
  <c r="H51" i="2"/>
  <c r="I50" i="2"/>
  <c r="H50" i="2"/>
  <c r="I49" i="2"/>
  <c r="H49" i="2"/>
  <c r="I48" i="2"/>
  <c r="H48" i="2"/>
  <c r="I47" i="2"/>
  <c r="H47" i="2"/>
  <c r="I46" i="2"/>
  <c r="H46" i="2"/>
  <c r="I45" i="2"/>
  <c r="H45" i="2"/>
  <c r="I44" i="2"/>
  <c r="H44" i="2"/>
  <c r="I43" i="2"/>
  <c r="H43" i="2"/>
  <c r="I42" i="2"/>
  <c r="H42" i="2"/>
  <c r="I41" i="2"/>
  <c r="H41" i="2"/>
  <c r="I40" i="2"/>
  <c r="H40" i="2"/>
  <c r="I39" i="2"/>
  <c r="H39" i="2"/>
  <c r="I38" i="2"/>
  <c r="H38" i="2"/>
  <c r="I37" i="2"/>
  <c r="H37" i="2"/>
  <c r="I36" i="2"/>
  <c r="H36" i="2"/>
  <c r="I35" i="2"/>
  <c r="H35" i="2"/>
  <c r="I34" i="2"/>
  <c r="H34" i="2"/>
  <c r="I33" i="2"/>
  <c r="H33" i="2"/>
  <c r="I32" i="2"/>
  <c r="H32" i="2"/>
  <c r="I31" i="2"/>
  <c r="H31" i="2"/>
  <c r="I30" i="2"/>
  <c r="H30" i="2"/>
  <c r="I29" i="2"/>
  <c r="H29" i="2"/>
  <c r="I28" i="2"/>
  <c r="H28" i="2"/>
  <c r="I27" i="2"/>
  <c r="H27" i="2"/>
  <c r="I26" i="2"/>
  <c r="H26" i="2"/>
  <c r="I25" i="2"/>
  <c r="H25" i="2"/>
  <c r="I24" i="2"/>
  <c r="H24" i="2"/>
  <c r="I23" i="2"/>
  <c r="H23" i="2"/>
  <c r="I22" i="2"/>
  <c r="H22" i="2"/>
  <c r="I21" i="2"/>
  <c r="H21" i="2"/>
  <c r="I20" i="2"/>
  <c r="H20" i="2"/>
  <c r="I19" i="2"/>
  <c r="H19" i="2"/>
  <c r="I18" i="2"/>
  <c r="H18" i="2"/>
  <c r="I17" i="2"/>
  <c r="H17" i="2"/>
  <c r="I16" i="2"/>
  <c r="H16" i="2"/>
  <c r="I15" i="2"/>
  <c r="H15" i="2"/>
  <c r="I14" i="2"/>
  <c r="H14" i="2"/>
  <c r="I13" i="2"/>
  <c r="H13" i="2"/>
  <c r="I12" i="2"/>
  <c r="H12" i="2"/>
  <c r="I11" i="2"/>
  <c r="H11" i="2"/>
  <c r="I10" i="2"/>
  <c r="H10" i="2"/>
  <c r="I9" i="2"/>
  <c r="H9" i="2"/>
  <c r="I4" i="2"/>
  <c r="K178" i="2"/>
  <c r="J178" i="2"/>
  <c r="K177" i="2"/>
  <c r="J177" i="2"/>
  <c r="K176" i="2"/>
  <c r="J176" i="2"/>
  <c r="K175" i="2"/>
  <c r="J175" i="2"/>
  <c r="K174" i="2"/>
  <c r="J174" i="2"/>
  <c r="K173" i="2"/>
  <c r="J173" i="2"/>
  <c r="K172" i="2"/>
  <c r="J172" i="2"/>
  <c r="K171" i="2"/>
  <c r="J171" i="2"/>
  <c r="K170" i="2"/>
  <c r="J170" i="2"/>
  <c r="K169" i="2"/>
  <c r="J169" i="2"/>
  <c r="K168" i="2"/>
  <c r="J168" i="2"/>
  <c r="K167" i="2"/>
  <c r="J167" i="2"/>
  <c r="K166" i="2"/>
  <c r="J166" i="2"/>
  <c r="K165" i="2"/>
  <c r="J165" i="2"/>
  <c r="K164" i="2"/>
  <c r="J164" i="2"/>
  <c r="K163" i="2"/>
  <c r="J163" i="2"/>
  <c r="K162" i="2"/>
  <c r="J162" i="2"/>
  <c r="K161" i="2"/>
  <c r="J161" i="2"/>
  <c r="K160" i="2"/>
  <c r="J160" i="2"/>
  <c r="K159" i="2"/>
  <c r="J159" i="2"/>
  <c r="K158" i="2"/>
  <c r="J158" i="2"/>
  <c r="K157" i="2"/>
  <c r="J157" i="2"/>
  <c r="K156" i="2"/>
  <c r="J156" i="2"/>
  <c r="K155" i="2"/>
  <c r="J155" i="2"/>
  <c r="K154" i="2"/>
  <c r="J154" i="2"/>
  <c r="K153" i="2"/>
  <c r="J153" i="2"/>
  <c r="K152" i="2"/>
  <c r="J152" i="2"/>
  <c r="K151" i="2"/>
  <c r="J151" i="2"/>
  <c r="K150" i="2"/>
  <c r="J150" i="2"/>
  <c r="K149" i="2"/>
  <c r="J149" i="2"/>
  <c r="K148" i="2"/>
  <c r="J148" i="2"/>
  <c r="K147" i="2"/>
  <c r="J147" i="2"/>
  <c r="K146" i="2"/>
  <c r="J146" i="2"/>
  <c r="K145" i="2"/>
  <c r="J145" i="2"/>
  <c r="K144" i="2"/>
  <c r="J144" i="2"/>
  <c r="K143" i="2"/>
  <c r="J143" i="2"/>
  <c r="K142" i="2"/>
  <c r="J142" i="2"/>
  <c r="K141" i="2"/>
  <c r="J141" i="2"/>
  <c r="K140" i="2"/>
  <c r="J140" i="2"/>
  <c r="K139" i="2"/>
  <c r="J139" i="2"/>
  <c r="K138" i="2"/>
  <c r="J138" i="2"/>
  <c r="K137" i="2"/>
  <c r="J137" i="2"/>
  <c r="K136" i="2"/>
  <c r="J136" i="2"/>
  <c r="K135" i="2"/>
  <c r="J135" i="2"/>
  <c r="K134" i="2"/>
  <c r="J134" i="2"/>
  <c r="K133" i="2"/>
  <c r="J133" i="2"/>
  <c r="K132" i="2"/>
  <c r="J132" i="2"/>
  <c r="K131" i="2"/>
  <c r="J131" i="2"/>
  <c r="K130" i="2"/>
  <c r="J130" i="2"/>
  <c r="K129" i="2"/>
  <c r="J129" i="2"/>
  <c r="K128" i="2"/>
  <c r="J128" i="2"/>
  <c r="K127" i="2"/>
  <c r="J127" i="2"/>
  <c r="K126" i="2"/>
  <c r="J126" i="2"/>
  <c r="K125" i="2"/>
  <c r="J125" i="2"/>
  <c r="K124" i="2"/>
  <c r="J124" i="2"/>
  <c r="K123" i="2"/>
  <c r="J123" i="2"/>
  <c r="K122" i="2"/>
  <c r="J122" i="2"/>
  <c r="K121" i="2"/>
  <c r="J121" i="2"/>
  <c r="K120" i="2"/>
  <c r="J120" i="2"/>
  <c r="K119" i="2"/>
  <c r="J119" i="2"/>
  <c r="K118" i="2"/>
  <c r="J118" i="2"/>
  <c r="K117" i="2"/>
  <c r="J117" i="2"/>
  <c r="K116" i="2"/>
  <c r="J116" i="2"/>
  <c r="K115" i="2"/>
  <c r="J115" i="2"/>
  <c r="K114" i="2"/>
  <c r="J114" i="2"/>
  <c r="K113" i="2"/>
  <c r="J113" i="2"/>
  <c r="K112" i="2"/>
  <c r="J112" i="2"/>
  <c r="K111" i="2"/>
  <c r="J111" i="2"/>
  <c r="K110" i="2"/>
  <c r="J110" i="2"/>
  <c r="K109" i="2"/>
  <c r="J109" i="2"/>
  <c r="K108" i="2"/>
  <c r="J108" i="2"/>
  <c r="K107" i="2"/>
  <c r="J107" i="2"/>
  <c r="K106" i="2"/>
  <c r="J106" i="2"/>
  <c r="K105" i="2"/>
  <c r="J105" i="2"/>
  <c r="K104" i="2"/>
  <c r="J104" i="2"/>
  <c r="K103" i="2"/>
  <c r="J103" i="2"/>
  <c r="K102" i="2"/>
  <c r="J102" i="2"/>
  <c r="K101" i="2"/>
  <c r="J101" i="2"/>
  <c r="K100" i="2"/>
  <c r="J100" i="2"/>
  <c r="K99" i="2"/>
  <c r="J99" i="2"/>
  <c r="K98" i="2"/>
  <c r="J98" i="2"/>
  <c r="K97" i="2"/>
  <c r="J97" i="2"/>
  <c r="K96" i="2"/>
  <c r="J96" i="2"/>
  <c r="K95" i="2"/>
  <c r="J95" i="2"/>
  <c r="K94" i="2"/>
  <c r="J94" i="2"/>
  <c r="K93" i="2"/>
  <c r="J93" i="2"/>
  <c r="K92" i="2"/>
  <c r="J92" i="2"/>
  <c r="K91" i="2"/>
  <c r="J91" i="2"/>
  <c r="K90" i="2"/>
  <c r="J90" i="2"/>
  <c r="K89" i="2"/>
  <c r="J89" i="2"/>
  <c r="K88" i="2"/>
  <c r="J88" i="2"/>
  <c r="K87" i="2"/>
  <c r="J87" i="2"/>
  <c r="K86" i="2"/>
  <c r="J86" i="2"/>
  <c r="K85" i="2"/>
  <c r="J85" i="2"/>
  <c r="K84" i="2"/>
  <c r="J84" i="2"/>
  <c r="K83" i="2"/>
  <c r="J83" i="2"/>
  <c r="K82" i="2"/>
  <c r="J82" i="2"/>
  <c r="K81" i="2"/>
  <c r="J81" i="2"/>
  <c r="K80" i="2"/>
  <c r="J80" i="2"/>
  <c r="K79" i="2"/>
  <c r="J79" i="2"/>
  <c r="K78" i="2"/>
  <c r="J78" i="2"/>
  <c r="K77" i="2"/>
  <c r="J77" i="2"/>
  <c r="K76" i="2"/>
  <c r="J76" i="2"/>
  <c r="K75" i="2"/>
  <c r="J75" i="2"/>
  <c r="K74" i="2"/>
  <c r="J74" i="2"/>
  <c r="K73" i="2"/>
  <c r="J73" i="2"/>
  <c r="K72" i="2"/>
  <c r="J72" i="2"/>
  <c r="K71" i="2"/>
  <c r="J71" i="2"/>
  <c r="K70" i="2"/>
  <c r="J70" i="2"/>
  <c r="K69" i="2"/>
  <c r="J69" i="2"/>
  <c r="K68" i="2"/>
  <c r="J68" i="2"/>
  <c r="K67" i="2"/>
  <c r="J67" i="2"/>
  <c r="K66" i="2"/>
  <c r="J66" i="2"/>
  <c r="K65" i="2"/>
  <c r="J65" i="2"/>
  <c r="K64" i="2"/>
  <c r="J64" i="2"/>
  <c r="K63" i="2"/>
  <c r="J63" i="2"/>
  <c r="K62" i="2"/>
  <c r="J62" i="2"/>
  <c r="K61" i="2"/>
  <c r="J61" i="2"/>
  <c r="K60" i="2"/>
  <c r="J60" i="2"/>
  <c r="K59" i="2"/>
  <c r="J59" i="2"/>
  <c r="K58" i="2"/>
  <c r="J58" i="2"/>
  <c r="K57" i="2"/>
  <c r="J57" i="2"/>
  <c r="K56" i="2"/>
  <c r="J56" i="2"/>
  <c r="K55" i="2"/>
  <c r="J55" i="2"/>
  <c r="K54" i="2"/>
  <c r="J54" i="2"/>
  <c r="K53" i="2"/>
  <c r="J53" i="2"/>
  <c r="K52" i="2"/>
  <c r="J52" i="2"/>
  <c r="K51" i="2"/>
  <c r="J51" i="2"/>
  <c r="K50" i="2"/>
  <c r="J50" i="2"/>
  <c r="K49" i="2"/>
  <c r="J49" i="2"/>
  <c r="K48" i="2"/>
  <c r="J48" i="2"/>
  <c r="K47" i="2"/>
  <c r="J47" i="2"/>
  <c r="K46" i="2"/>
  <c r="J46" i="2"/>
  <c r="K45" i="2"/>
  <c r="J45" i="2"/>
  <c r="K44" i="2"/>
  <c r="J44" i="2"/>
  <c r="K43" i="2"/>
  <c r="J43" i="2"/>
  <c r="K42" i="2"/>
  <c r="J42" i="2"/>
  <c r="K41" i="2"/>
  <c r="J41" i="2"/>
  <c r="K40" i="2"/>
  <c r="J40" i="2"/>
  <c r="K39" i="2"/>
  <c r="J39" i="2"/>
  <c r="K38" i="2"/>
  <c r="J38" i="2"/>
  <c r="K37" i="2"/>
  <c r="J37" i="2"/>
  <c r="K36" i="2"/>
  <c r="J36" i="2"/>
  <c r="K35" i="2"/>
  <c r="J35" i="2"/>
  <c r="K34" i="2"/>
  <c r="J34" i="2"/>
  <c r="K33" i="2"/>
  <c r="J33" i="2"/>
  <c r="K32" i="2"/>
  <c r="J32" i="2"/>
  <c r="K31" i="2"/>
  <c r="J31" i="2"/>
  <c r="K30" i="2"/>
  <c r="J30" i="2"/>
  <c r="K29" i="2"/>
  <c r="J29" i="2"/>
  <c r="K28" i="2"/>
  <c r="J28" i="2"/>
  <c r="K27" i="2"/>
  <c r="J27" i="2"/>
  <c r="K26" i="2"/>
  <c r="J26" i="2"/>
  <c r="K25" i="2"/>
  <c r="J25" i="2"/>
  <c r="K24" i="2"/>
  <c r="J24" i="2"/>
  <c r="K23" i="2"/>
  <c r="J23" i="2"/>
  <c r="K22" i="2"/>
  <c r="J22" i="2"/>
  <c r="K21" i="2"/>
  <c r="J21" i="2"/>
  <c r="K20" i="2"/>
  <c r="J20" i="2"/>
  <c r="K19" i="2"/>
  <c r="J19" i="2"/>
  <c r="K18" i="2"/>
  <c r="J18" i="2"/>
  <c r="K17" i="2"/>
  <c r="J17" i="2"/>
  <c r="K16" i="2"/>
  <c r="J16" i="2"/>
  <c r="K15" i="2"/>
  <c r="J15" i="2"/>
  <c r="K14" i="2"/>
  <c r="J14" i="2"/>
  <c r="K13" i="2"/>
  <c r="J13" i="2"/>
  <c r="K12" i="2"/>
  <c r="J12" i="2"/>
  <c r="K11" i="2"/>
  <c r="J11" i="2"/>
  <c r="K10" i="2"/>
  <c r="J10" i="2"/>
  <c r="K9" i="2"/>
  <c r="J9" i="2"/>
  <c r="K8" i="2"/>
  <c r="J8" i="2"/>
  <c r="K7" i="2"/>
  <c r="J7" i="2"/>
  <c r="K6" i="2"/>
  <c r="J6" i="2"/>
  <c r="K5" i="2"/>
  <c r="J5" i="2"/>
  <c r="K4" i="2"/>
  <c r="J4" i="2"/>
  <c r="E178" i="2"/>
  <c r="D178" i="2"/>
  <c r="C178" i="2"/>
  <c r="E177" i="2"/>
  <c r="D177" i="2"/>
  <c r="C177" i="2"/>
  <c r="E176" i="2"/>
  <c r="D176" i="2"/>
  <c r="C176" i="2"/>
  <c r="E175" i="2"/>
  <c r="D175" i="2"/>
  <c r="C175" i="2"/>
  <c r="E174" i="2"/>
  <c r="D174" i="2"/>
  <c r="C174" i="2"/>
  <c r="E173" i="2"/>
  <c r="D173" i="2"/>
  <c r="C173" i="2"/>
  <c r="E172" i="2"/>
  <c r="D172" i="2"/>
  <c r="C172" i="2"/>
  <c r="E171" i="2"/>
  <c r="D171" i="2"/>
  <c r="C171" i="2"/>
  <c r="E170" i="2"/>
  <c r="D170" i="2"/>
  <c r="C170" i="2"/>
  <c r="E169" i="2"/>
  <c r="D169" i="2"/>
  <c r="C169" i="2"/>
  <c r="E168" i="2"/>
  <c r="D168" i="2"/>
  <c r="C168" i="2"/>
  <c r="E167" i="2"/>
  <c r="D167" i="2"/>
  <c r="C167" i="2"/>
  <c r="E166" i="2"/>
  <c r="D166" i="2"/>
  <c r="C166" i="2"/>
  <c r="E165" i="2"/>
  <c r="D165" i="2"/>
  <c r="C165" i="2"/>
  <c r="E164" i="2"/>
  <c r="D164" i="2"/>
  <c r="C164" i="2"/>
  <c r="E163" i="2"/>
  <c r="D163" i="2"/>
  <c r="C163" i="2"/>
  <c r="E162" i="2"/>
  <c r="D162" i="2"/>
  <c r="C162" i="2"/>
  <c r="E161" i="2"/>
  <c r="D161" i="2"/>
  <c r="C161" i="2"/>
  <c r="E160" i="2"/>
  <c r="D160" i="2"/>
  <c r="C160" i="2"/>
  <c r="E159" i="2"/>
  <c r="D159" i="2"/>
  <c r="C159" i="2"/>
  <c r="E158" i="2"/>
  <c r="D158" i="2"/>
  <c r="C158" i="2"/>
  <c r="E157" i="2"/>
  <c r="D157" i="2"/>
  <c r="C157" i="2"/>
  <c r="E156" i="2"/>
  <c r="D156" i="2"/>
  <c r="C156" i="2"/>
  <c r="E155" i="2"/>
  <c r="D155" i="2"/>
  <c r="C155" i="2"/>
  <c r="E154" i="2"/>
  <c r="D154" i="2"/>
  <c r="C154" i="2"/>
  <c r="E153" i="2"/>
  <c r="D153" i="2"/>
  <c r="C153" i="2"/>
  <c r="E152" i="2"/>
  <c r="D152" i="2"/>
  <c r="C152" i="2"/>
  <c r="E151" i="2"/>
  <c r="D151" i="2"/>
  <c r="C151" i="2"/>
  <c r="E150" i="2"/>
  <c r="D150" i="2"/>
  <c r="C150" i="2"/>
  <c r="E149" i="2"/>
  <c r="D149" i="2"/>
  <c r="C149" i="2"/>
  <c r="E148" i="2"/>
  <c r="D148" i="2"/>
  <c r="C148" i="2"/>
  <c r="E147" i="2"/>
  <c r="D147" i="2"/>
  <c r="C147" i="2"/>
  <c r="E146" i="2"/>
  <c r="D146" i="2"/>
  <c r="C146" i="2"/>
  <c r="E145" i="2"/>
  <c r="D145" i="2"/>
  <c r="C145" i="2"/>
  <c r="E144" i="2"/>
  <c r="D144" i="2"/>
  <c r="C144" i="2"/>
  <c r="E143" i="2"/>
  <c r="D143" i="2"/>
  <c r="C143" i="2"/>
  <c r="E142" i="2"/>
  <c r="D142" i="2"/>
  <c r="C142" i="2"/>
  <c r="E141" i="2"/>
  <c r="D141" i="2"/>
  <c r="C141" i="2"/>
  <c r="E140" i="2"/>
  <c r="D140" i="2"/>
  <c r="C140" i="2"/>
  <c r="E139" i="2"/>
  <c r="D139" i="2"/>
  <c r="C139" i="2"/>
  <c r="E138" i="2"/>
  <c r="D138" i="2"/>
  <c r="C138" i="2"/>
  <c r="E137" i="2"/>
  <c r="D137" i="2"/>
  <c r="C137" i="2"/>
  <c r="E136" i="2"/>
  <c r="D136" i="2"/>
  <c r="C136" i="2"/>
  <c r="E135" i="2"/>
  <c r="D135" i="2"/>
  <c r="C135" i="2"/>
  <c r="E134" i="2"/>
  <c r="D134" i="2"/>
  <c r="C134" i="2"/>
  <c r="E133" i="2"/>
  <c r="D133" i="2"/>
  <c r="C133" i="2"/>
  <c r="E132" i="2"/>
  <c r="D132" i="2"/>
  <c r="C132" i="2"/>
  <c r="E131" i="2"/>
  <c r="D131" i="2"/>
  <c r="C131" i="2"/>
  <c r="E130" i="2"/>
  <c r="D130" i="2"/>
  <c r="C130" i="2"/>
  <c r="E129" i="2"/>
  <c r="D129" i="2"/>
  <c r="C129" i="2"/>
  <c r="E128" i="2"/>
  <c r="D128" i="2"/>
  <c r="C128" i="2"/>
  <c r="E127" i="2"/>
  <c r="D127" i="2"/>
  <c r="C127" i="2"/>
  <c r="E126" i="2"/>
  <c r="D126" i="2"/>
  <c r="C126" i="2"/>
  <c r="E125" i="2"/>
  <c r="D125" i="2"/>
  <c r="C125" i="2"/>
  <c r="E124" i="2"/>
  <c r="D124" i="2"/>
  <c r="C124" i="2"/>
  <c r="E123" i="2"/>
  <c r="D123" i="2"/>
  <c r="C123" i="2"/>
  <c r="E122" i="2"/>
  <c r="D122" i="2"/>
  <c r="C122" i="2"/>
  <c r="E121" i="2"/>
  <c r="D121" i="2"/>
  <c r="C121" i="2"/>
  <c r="E120" i="2"/>
  <c r="D120" i="2"/>
  <c r="C120" i="2"/>
  <c r="E119" i="2"/>
  <c r="D119" i="2"/>
  <c r="C119" i="2"/>
  <c r="E118" i="2"/>
  <c r="D118" i="2"/>
  <c r="C118" i="2"/>
  <c r="E117" i="2"/>
  <c r="D117" i="2"/>
  <c r="C117" i="2"/>
  <c r="E116" i="2"/>
  <c r="D116" i="2"/>
  <c r="C116" i="2"/>
  <c r="E115" i="2"/>
  <c r="D115" i="2"/>
  <c r="C115" i="2"/>
  <c r="E114" i="2"/>
  <c r="D114" i="2"/>
  <c r="C114" i="2"/>
  <c r="E113" i="2"/>
  <c r="D113" i="2"/>
  <c r="C113" i="2"/>
  <c r="E112" i="2"/>
  <c r="D112" i="2"/>
  <c r="C112" i="2"/>
  <c r="E111" i="2"/>
  <c r="D111" i="2"/>
  <c r="C111" i="2"/>
  <c r="E110" i="2"/>
  <c r="D110" i="2"/>
  <c r="C110" i="2"/>
  <c r="E109" i="2"/>
  <c r="D109" i="2"/>
  <c r="C109" i="2"/>
  <c r="E108" i="2"/>
  <c r="D108" i="2"/>
  <c r="C108" i="2"/>
  <c r="E107" i="2"/>
  <c r="D107" i="2"/>
  <c r="C107" i="2"/>
  <c r="E106" i="2"/>
  <c r="D106" i="2"/>
  <c r="C106" i="2"/>
  <c r="E105" i="2"/>
  <c r="D105" i="2"/>
  <c r="C105" i="2"/>
  <c r="E104" i="2"/>
  <c r="D104" i="2"/>
  <c r="C104" i="2"/>
  <c r="E103" i="2"/>
  <c r="D103" i="2"/>
  <c r="C103" i="2"/>
  <c r="E102" i="2"/>
  <c r="D102" i="2"/>
  <c r="C102" i="2"/>
  <c r="E101" i="2"/>
  <c r="D101" i="2"/>
  <c r="C101" i="2"/>
  <c r="E100" i="2"/>
  <c r="D100" i="2"/>
  <c r="C100" i="2"/>
  <c r="E99" i="2"/>
  <c r="D99" i="2"/>
  <c r="C99" i="2"/>
  <c r="E98" i="2"/>
  <c r="D98" i="2"/>
  <c r="C98" i="2"/>
  <c r="E97" i="2"/>
  <c r="D97" i="2"/>
  <c r="C97" i="2"/>
  <c r="E96" i="2"/>
  <c r="D96" i="2"/>
  <c r="C96" i="2"/>
  <c r="E95" i="2"/>
  <c r="D95" i="2"/>
  <c r="C95" i="2"/>
  <c r="E94" i="2"/>
  <c r="D94" i="2"/>
  <c r="C94" i="2"/>
  <c r="E93" i="2"/>
  <c r="D93" i="2"/>
  <c r="C93" i="2"/>
  <c r="E92" i="2"/>
  <c r="D92" i="2"/>
  <c r="C92" i="2"/>
  <c r="E91" i="2"/>
  <c r="D91" i="2"/>
  <c r="C91" i="2"/>
  <c r="E90" i="2"/>
  <c r="D90" i="2"/>
  <c r="C90" i="2"/>
  <c r="E89" i="2"/>
  <c r="D89" i="2"/>
  <c r="C89" i="2"/>
  <c r="E88" i="2"/>
  <c r="D88" i="2"/>
  <c r="C88" i="2"/>
  <c r="E87" i="2"/>
  <c r="D87" i="2"/>
  <c r="C87" i="2"/>
  <c r="E86" i="2"/>
  <c r="D86" i="2"/>
  <c r="C86" i="2"/>
  <c r="E85" i="2"/>
  <c r="D85" i="2"/>
  <c r="C85" i="2"/>
  <c r="E84" i="2"/>
  <c r="D84" i="2"/>
  <c r="C84" i="2"/>
  <c r="E83" i="2"/>
  <c r="D83" i="2"/>
  <c r="C83" i="2"/>
  <c r="E82" i="2"/>
  <c r="D82" i="2"/>
  <c r="C82" i="2"/>
  <c r="E81" i="2"/>
  <c r="D81" i="2"/>
  <c r="C81" i="2"/>
  <c r="E80" i="2"/>
  <c r="D80" i="2"/>
  <c r="C80" i="2"/>
  <c r="E79" i="2"/>
  <c r="D79" i="2"/>
  <c r="C79" i="2"/>
  <c r="E78" i="2"/>
  <c r="D78" i="2"/>
  <c r="C78" i="2"/>
  <c r="E77" i="2"/>
  <c r="D77" i="2"/>
  <c r="C77" i="2"/>
  <c r="E76" i="2"/>
  <c r="D76" i="2"/>
  <c r="C76" i="2"/>
  <c r="E75" i="2"/>
  <c r="D75" i="2"/>
  <c r="C75" i="2"/>
  <c r="E74" i="2"/>
  <c r="D74" i="2"/>
  <c r="C74" i="2"/>
  <c r="E73" i="2"/>
  <c r="D73" i="2"/>
  <c r="C73" i="2"/>
  <c r="E72" i="2"/>
  <c r="D72" i="2"/>
  <c r="C72" i="2"/>
  <c r="E71" i="2"/>
  <c r="D71" i="2"/>
  <c r="C71" i="2"/>
  <c r="E70" i="2"/>
  <c r="D70" i="2"/>
  <c r="C70" i="2"/>
  <c r="E69" i="2"/>
  <c r="D69" i="2"/>
  <c r="C69" i="2"/>
  <c r="E68" i="2"/>
  <c r="D68" i="2"/>
  <c r="C68" i="2"/>
  <c r="E67" i="2"/>
  <c r="D67" i="2"/>
  <c r="C67" i="2"/>
  <c r="E66" i="2"/>
  <c r="D66" i="2"/>
  <c r="C66" i="2"/>
  <c r="E65" i="2"/>
  <c r="D65" i="2"/>
  <c r="C65" i="2"/>
  <c r="E64" i="2"/>
  <c r="D64" i="2"/>
  <c r="C64" i="2"/>
  <c r="E63" i="2"/>
  <c r="D63" i="2"/>
  <c r="C63" i="2"/>
  <c r="E62" i="2"/>
  <c r="D62" i="2"/>
  <c r="C62" i="2"/>
  <c r="E61" i="2"/>
  <c r="D61" i="2"/>
  <c r="C61" i="2"/>
  <c r="E60" i="2"/>
  <c r="D60" i="2"/>
  <c r="C60" i="2"/>
  <c r="E59" i="2"/>
  <c r="D59" i="2"/>
  <c r="C59" i="2"/>
  <c r="E58" i="2"/>
  <c r="D58" i="2"/>
  <c r="C58" i="2"/>
  <c r="E57" i="2"/>
  <c r="D57" i="2"/>
  <c r="C57" i="2"/>
  <c r="E56" i="2"/>
  <c r="D56" i="2"/>
  <c r="C56" i="2"/>
  <c r="E55" i="2"/>
  <c r="D55" i="2"/>
  <c r="C55" i="2"/>
  <c r="E54" i="2"/>
  <c r="D54" i="2"/>
  <c r="C54" i="2"/>
  <c r="E53" i="2"/>
  <c r="D53" i="2"/>
  <c r="C53" i="2"/>
  <c r="E52" i="2"/>
  <c r="D52" i="2"/>
  <c r="C52" i="2"/>
  <c r="E51" i="2"/>
  <c r="D51" i="2"/>
  <c r="C51" i="2"/>
  <c r="E50" i="2"/>
  <c r="D50" i="2"/>
  <c r="C50" i="2"/>
  <c r="E49" i="2"/>
  <c r="D49" i="2"/>
  <c r="C49" i="2"/>
  <c r="E48" i="2"/>
  <c r="D48" i="2"/>
  <c r="C48" i="2"/>
  <c r="E47" i="2"/>
  <c r="D47" i="2"/>
  <c r="C47" i="2"/>
  <c r="E46" i="2"/>
  <c r="D46" i="2"/>
  <c r="C46" i="2"/>
  <c r="E45" i="2"/>
  <c r="D45" i="2"/>
  <c r="C45" i="2"/>
  <c r="E44" i="2"/>
  <c r="D44" i="2"/>
  <c r="C44" i="2"/>
  <c r="E43" i="2"/>
  <c r="D43" i="2"/>
  <c r="C43" i="2"/>
  <c r="E42" i="2"/>
  <c r="D42" i="2"/>
  <c r="C42" i="2"/>
  <c r="E41" i="2"/>
  <c r="D41" i="2"/>
  <c r="C41" i="2"/>
  <c r="E40" i="2"/>
  <c r="D40" i="2"/>
  <c r="C40" i="2"/>
  <c r="E39" i="2"/>
  <c r="D39" i="2"/>
  <c r="C39" i="2"/>
  <c r="E38" i="2"/>
  <c r="D38" i="2"/>
  <c r="C38" i="2"/>
  <c r="E37" i="2"/>
  <c r="D37" i="2"/>
  <c r="C37" i="2"/>
  <c r="E36" i="2"/>
  <c r="D36" i="2"/>
  <c r="C36" i="2"/>
  <c r="E35" i="2"/>
  <c r="D35" i="2"/>
  <c r="C35" i="2"/>
  <c r="E34" i="2"/>
  <c r="D34" i="2"/>
  <c r="C34" i="2"/>
  <c r="E33" i="2"/>
  <c r="D33" i="2"/>
  <c r="C33" i="2"/>
  <c r="E32" i="2"/>
  <c r="D32" i="2"/>
  <c r="C32" i="2"/>
  <c r="E31" i="2"/>
  <c r="D31" i="2"/>
  <c r="C31" i="2"/>
  <c r="E30" i="2"/>
  <c r="D30" i="2"/>
  <c r="C30" i="2"/>
  <c r="E29" i="2"/>
  <c r="D29" i="2"/>
  <c r="C29" i="2"/>
  <c r="E28" i="2"/>
  <c r="D28" i="2"/>
  <c r="C28" i="2"/>
  <c r="E27" i="2"/>
  <c r="D27" i="2"/>
  <c r="C27" i="2"/>
  <c r="E26" i="2"/>
  <c r="D26" i="2"/>
  <c r="C26" i="2"/>
  <c r="E25" i="2"/>
  <c r="D25" i="2"/>
  <c r="C25" i="2"/>
  <c r="E24" i="2"/>
  <c r="D24" i="2"/>
  <c r="C24" i="2"/>
  <c r="E23" i="2"/>
  <c r="D23" i="2"/>
  <c r="C23" i="2"/>
  <c r="E22" i="2"/>
  <c r="D22" i="2"/>
  <c r="C22" i="2"/>
  <c r="E21" i="2"/>
  <c r="D21" i="2"/>
  <c r="C21" i="2"/>
  <c r="E20" i="2"/>
  <c r="D20" i="2"/>
  <c r="C20" i="2"/>
  <c r="E19" i="2"/>
  <c r="D19" i="2"/>
  <c r="C19" i="2"/>
  <c r="E18" i="2"/>
  <c r="D18" i="2"/>
  <c r="C18" i="2"/>
  <c r="E17" i="2"/>
  <c r="D17" i="2"/>
  <c r="C17" i="2"/>
  <c r="E16" i="2"/>
  <c r="D16" i="2"/>
  <c r="C16" i="2"/>
  <c r="E15" i="2"/>
  <c r="D15" i="2"/>
  <c r="C15" i="2"/>
  <c r="E14" i="2"/>
  <c r="D14" i="2"/>
  <c r="C14" i="2"/>
  <c r="E13" i="2"/>
  <c r="D13" i="2"/>
  <c r="C13" i="2"/>
  <c r="E12" i="2"/>
  <c r="D12" i="2"/>
  <c r="C12" i="2"/>
  <c r="E11" i="2"/>
  <c r="D11" i="2"/>
  <c r="C11" i="2"/>
  <c r="E10" i="2"/>
  <c r="D10" i="2"/>
  <c r="C10" i="2"/>
  <c r="E9" i="2"/>
  <c r="D9" i="2"/>
  <c r="C9" i="2"/>
  <c r="E8" i="2"/>
  <c r="D8" i="2"/>
  <c r="C8" i="2"/>
  <c r="E7" i="2"/>
  <c r="D7" i="2"/>
  <c r="C7" i="2"/>
  <c r="E6" i="2"/>
  <c r="D6" i="2"/>
  <c r="C6" i="2"/>
  <c r="E5" i="2"/>
  <c r="D5" i="2"/>
  <c r="C5" i="2"/>
  <c r="D4" i="2"/>
  <c r="E4" i="2"/>
  <c r="C4" i="2"/>
  <c r="B178" i="2"/>
  <c r="A178" i="2"/>
  <c r="A6" i="2"/>
  <c r="H6" i="2" s="1"/>
  <c r="B6" i="2"/>
  <c r="I6" i="2" s="1"/>
  <c r="A7" i="2"/>
  <c r="H7" i="2" s="1"/>
  <c r="B7" i="2"/>
  <c r="I7" i="2" s="1"/>
  <c r="A8" i="2"/>
  <c r="H8" i="2" s="1"/>
  <c r="B8" i="2"/>
  <c r="I8" i="2" s="1"/>
  <c r="A9" i="2"/>
  <c r="B9" i="2"/>
  <c r="A10" i="2"/>
  <c r="B10" i="2"/>
  <c r="A11" i="2"/>
  <c r="B11" i="2"/>
  <c r="A12" i="2"/>
  <c r="B12" i="2"/>
  <c r="A13" i="2"/>
  <c r="B13" i="2"/>
  <c r="A14" i="2"/>
  <c r="B14" i="2"/>
  <c r="A15" i="2"/>
  <c r="B15" i="2"/>
  <c r="A16" i="2"/>
  <c r="B16" i="2"/>
  <c r="A17" i="2"/>
  <c r="B17" i="2"/>
  <c r="A18" i="2"/>
  <c r="B18" i="2"/>
  <c r="A19" i="2"/>
  <c r="B19" i="2"/>
  <c r="A20" i="2"/>
  <c r="B20" i="2"/>
  <c r="A21" i="2"/>
  <c r="B21" i="2"/>
  <c r="A22" i="2"/>
  <c r="B22" i="2"/>
  <c r="A23" i="2"/>
  <c r="B23" i="2"/>
  <c r="A24" i="2"/>
  <c r="B24" i="2"/>
  <c r="A25" i="2"/>
  <c r="B25" i="2"/>
  <c r="A26" i="2"/>
  <c r="B26" i="2"/>
  <c r="A27" i="2"/>
  <c r="B27" i="2"/>
  <c r="A28" i="2"/>
  <c r="B28" i="2"/>
  <c r="A29" i="2"/>
  <c r="B29" i="2"/>
  <c r="A30" i="2"/>
  <c r="B30" i="2"/>
  <c r="A31" i="2"/>
  <c r="B31" i="2"/>
  <c r="A32" i="2"/>
  <c r="B32" i="2"/>
  <c r="A33" i="2"/>
  <c r="B33" i="2"/>
  <c r="A34" i="2"/>
  <c r="B34" i="2"/>
  <c r="A35" i="2"/>
  <c r="B35" i="2"/>
  <c r="A36" i="2"/>
  <c r="B36" i="2"/>
  <c r="A37" i="2"/>
  <c r="B37" i="2"/>
  <c r="A38" i="2"/>
  <c r="B38" i="2"/>
  <c r="A39" i="2"/>
  <c r="B39" i="2"/>
  <c r="A40" i="2"/>
  <c r="B40" i="2"/>
  <c r="A41" i="2"/>
  <c r="B41" i="2"/>
  <c r="A42" i="2"/>
  <c r="B42" i="2"/>
  <c r="A43" i="2"/>
  <c r="B43" i="2"/>
  <c r="A44" i="2"/>
  <c r="B44" i="2"/>
  <c r="A45" i="2"/>
  <c r="B45" i="2"/>
  <c r="A46" i="2"/>
  <c r="B46" i="2"/>
  <c r="A47" i="2"/>
  <c r="B47" i="2"/>
  <c r="A48" i="2"/>
  <c r="B48" i="2"/>
  <c r="A49" i="2"/>
  <c r="B49" i="2"/>
  <c r="A50" i="2"/>
  <c r="B50" i="2"/>
  <c r="A51" i="2"/>
  <c r="B51" i="2"/>
  <c r="A52" i="2"/>
  <c r="B52" i="2"/>
  <c r="A53" i="2"/>
  <c r="B53" i="2"/>
  <c r="A54" i="2"/>
  <c r="B54" i="2"/>
  <c r="A55" i="2"/>
  <c r="B55" i="2"/>
  <c r="A56" i="2"/>
  <c r="B56" i="2"/>
  <c r="A57" i="2"/>
  <c r="B57" i="2"/>
  <c r="A58" i="2"/>
  <c r="B58" i="2"/>
  <c r="A59" i="2"/>
  <c r="B59" i="2"/>
  <c r="A60" i="2"/>
  <c r="B60" i="2"/>
  <c r="A61" i="2"/>
  <c r="B61" i="2"/>
  <c r="A62" i="2"/>
  <c r="B62" i="2"/>
  <c r="A63" i="2"/>
  <c r="B63" i="2"/>
  <c r="A64" i="2"/>
  <c r="B64" i="2"/>
  <c r="A65" i="2"/>
  <c r="B65" i="2"/>
  <c r="A66" i="2"/>
  <c r="B66" i="2"/>
  <c r="A67" i="2"/>
  <c r="B67" i="2"/>
  <c r="A68" i="2"/>
  <c r="B68" i="2"/>
  <c r="A69" i="2"/>
  <c r="B69" i="2"/>
  <c r="A70" i="2"/>
  <c r="B70" i="2"/>
  <c r="A71" i="2"/>
  <c r="B71" i="2"/>
  <c r="A72" i="2"/>
  <c r="B72" i="2"/>
  <c r="A73" i="2"/>
  <c r="B73" i="2"/>
  <c r="A74" i="2"/>
  <c r="B74" i="2"/>
  <c r="A75" i="2"/>
  <c r="B75" i="2"/>
  <c r="A76" i="2"/>
  <c r="B76" i="2"/>
  <c r="A77" i="2"/>
  <c r="B77" i="2"/>
  <c r="A78" i="2"/>
  <c r="B78" i="2"/>
  <c r="A79" i="2"/>
  <c r="B79" i="2"/>
  <c r="A80" i="2"/>
  <c r="B80" i="2"/>
  <c r="A81" i="2"/>
  <c r="B81" i="2"/>
  <c r="A82" i="2"/>
  <c r="B82" i="2"/>
  <c r="A83" i="2"/>
  <c r="B83" i="2"/>
  <c r="A84" i="2"/>
  <c r="B84" i="2"/>
  <c r="A85" i="2"/>
  <c r="B85" i="2"/>
  <c r="A86" i="2"/>
  <c r="B86" i="2"/>
  <c r="A87" i="2"/>
  <c r="B87" i="2"/>
  <c r="A88" i="2"/>
  <c r="B88" i="2"/>
  <c r="A89" i="2"/>
  <c r="B89" i="2"/>
  <c r="A90" i="2"/>
  <c r="B90" i="2"/>
  <c r="A91" i="2"/>
  <c r="B91" i="2"/>
  <c r="A92" i="2"/>
  <c r="B92" i="2"/>
  <c r="A93" i="2"/>
  <c r="B93" i="2"/>
  <c r="A94" i="2"/>
  <c r="B94" i="2"/>
  <c r="A95" i="2"/>
  <c r="B95" i="2"/>
  <c r="A96" i="2"/>
  <c r="B96" i="2"/>
  <c r="A97" i="2"/>
  <c r="B97" i="2"/>
  <c r="A98" i="2"/>
  <c r="B98" i="2"/>
  <c r="A99" i="2"/>
  <c r="B99" i="2"/>
  <c r="A100" i="2"/>
  <c r="B100" i="2"/>
  <c r="A101" i="2"/>
  <c r="B101" i="2"/>
  <c r="A102" i="2"/>
  <c r="B102" i="2"/>
  <c r="A103" i="2"/>
  <c r="B103" i="2"/>
  <c r="A104" i="2"/>
  <c r="B104" i="2"/>
  <c r="A105" i="2"/>
  <c r="B105" i="2"/>
  <c r="A106" i="2"/>
  <c r="B106" i="2"/>
  <c r="A107" i="2"/>
  <c r="B107" i="2"/>
  <c r="A108" i="2"/>
  <c r="B108" i="2"/>
  <c r="A109" i="2"/>
  <c r="B109" i="2"/>
  <c r="A110" i="2"/>
  <c r="B110" i="2"/>
  <c r="A111" i="2"/>
  <c r="B111" i="2"/>
  <c r="A112" i="2"/>
  <c r="B112" i="2"/>
  <c r="A113" i="2"/>
  <c r="B113" i="2"/>
  <c r="A114" i="2"/>
  <c r="B114" i="2"/>
  <c r="A115" i="2"/>
  <c r="B115" i="2"/>
  <c r="A116" i="2"/>
  <c r="B116" i="2"/>
  <c r="A117" i="2"/>
  <c r="B117" i="2"/>
  <c r="A118" i="2"/>
  <c r="B118" i="2"/>
  <c r="A119" i="2"/>
  <c r="B119" i="2"/>
  <c r="A120" i="2"/>
  <c r="B120" i="2"/>
  <c r="A121" i="2"/>
  <c r="B121" i="2"/>
  <c r="A122" i="2"/>
  <c r="B122" i="2"/>
  <c r="A123" i="2"/>
  <c r="B123" i="2"/>
  <c r="A124" i="2"/>
  <c r="B124" i="2"/>
  <c r="A125" i="2"/>
  <c r="B125" i="2"/>
  <c r="A126" i="2"/>
  <c r="B126" i="2"/>
  <c r="A127" i="2"/>
  <c r="B127" i="2"/>
  <c r="A128" i="2"/>
  <c r="B128" i="2"/>
  <c r="A129" i="2"/>
  <c r="B129" i="2"/>
  <c r="A130" i="2"/>
  <c r="B130" i="2"/>
  <c r="A131" i="2"/>
  <c r="B131" i="2"/>
  <c r="A132" i="2"/>
  <c r="B132" i="2"/>
  <c r="A133" i="2"/>
  <c r="B133" i="2"/>
  <c r="A134" i="2"/>
  <c r="B134" i="2"/>
  <c r="A135" i="2"/>
  <c r="B135" i="2"/>
  <c r="A136" i="2"/>
  <c r="B136" i="2"/>
  <c r="A137" i="2"/>
  <c r="B137" i="2"/>
  <c r="A138" i="2"/>
  <c r="B138" i="2"/>
  <c r="A139" i="2"/>
  <c r="B139" i="2"/>
  <c r="A140" i="2"/>
  <c r="B140" i="2"/>
  <c r="A141" i="2"/>
  <c r="B141" i="2"/>
  <c r="A142" i="2"/>
  <c r="B142" i="2"/>
  <c r="A143" i="2"/>
  <c r="B143" i="2"/>
  <c r="A144" i="2"/>
  <c r="B144" i="2"/>
  <c r="A145" i="2"/>
  <c r="B145" i="2"/>
  <c r="A146" i="2"/>
  <c r="B146" i="2"/>
  <c r="A147" i="2"/>
  <c r="B147" i="2"/>
  <c r="A148" i="2"/>
  <c r="B148" i="2"/>
  <c r="A149" i="2"/>
  <c r="B149" i="2"/>
  <c r="A150" i="2"/>
  <c r="B150" i="2"/>
  <c r="A151" i="2"/>
  <c r="B151" i="2"/>
  <c r="A152" i="2"/>
  <c r="B152" i="2"/>
  <c r="A153" i="2"/>
  <c r="B153" i="2"/>
  <c r="A154" i="2"/>
  <c r="B154" i="2"/>
  <c r="A155" i="2"/>
  <c r="B155" i="2"/>
  <c r="A156" i="2"/>
  <c r="B156" i="2"/>
  <c r="A157" i="2"/>
  <c r="B157" i="2"/>
  <c r="A158" i="2"/>
  <c r="B158" i="2"/>
  <c r="A159" i="2"/>
  <c r="B159" i="2"/>
  <c r="A160" i="2"/>
  <c r="B160" i="2"/>
  <c r="A161" i="2"/>
  <c r="B161" i="2"/>
  <c r="A162" i="2"/>
  <c r="B162" i="2"/>
  <c r="A163" i="2"/>
  <c r="B163" i="2"/>
  <c r="A164" i="2"/>
  <c r="B164" i="2"/>
  <c r="A165" i="2"/>
  <c r="B165" i="2"/>
  <c r="A166" i="2"/>
  <c r="B166" i="2"/>
  <c r="A167" i="2"/>
  <c r="B167" i="2"/>
  <c r="A168" i="2"/>
  <c r="B168" i="2"/>
  <c r="A169" i="2"/>
  <c r="B169" i="2"/>
  <c r="A170" i="2"/>
  <c r="B170" i="2"/>
  <c r="A171" i="2"/>
  <c r="B171" i="2"/>
  <c r="A172" i="2"/>
  <c r="B172" i="2"/>
  <c r="A173" i="2"/>
  <c r="B173" i="2"/>
  <c r="A174" i="2"/>
  <c r="B174" i="2"/>
  <c r="A175" i="2"/>
  <c r="B175" i="2"/>
  <c r="A176" i="2"/>
  <c r="B176" i="2"/>
  <c r="A177" i="2"/>
  <c r="B177" i="2"/>
  <c r="B5" i="2"/>
  <c r="I5" i="2" s="1"/>
  <c r="A5" i="2"/>
  <c r="H5" i="2" s="1"/>
  <c r="S9" i="2"/>
  <c r="S8" i="2"/>
  <c r="S7" i="2"/>
  <c r="S6" i="2"/>
  <c r="S5" i="2"/>
  <c r="S4" i="2"/>
  <c r="S3" i="2"/>
  <c r="B4" i="2"/>
  <c r="A4" i="2"/>
  <c r="H4" i="2" s="1"/>
</calcChain>
</file>

<file path=xl/sharedStrings.xml><?xml version="1.0" encoding="utf-8"?>
<sst xmlns="http://schemas.openxmlformats.org/spreadsheetml/2006/main" count="29" uniqueCount="26">
  <si>
    <t>TABLE OF SECTION DEPTHS</t>
  </si>
  <si>
    <t>Span
No.</t>
  </si>
  <si>
    <t>Beam
No.</t>
  </si>
  <si>
    <t>"X" 
at ¡ of Brg</t>
  </si>
  <si>
    <t>"Y"
at ¡ of Brg</t>
  </si>
  <si>
    <t>"Z"
at ¡ of Span</t>
  </si>
  <si>
    <t>X</t>
  </si>
  <si>
    <t>Y</t>
  </si>
  <si>
    <t>Z</t>
  </si>
  <si>
    <t>"A"</t>
  </si>
  <si>
    <t>"B"</t>
  </si>
  <si>
    <t>Ft</t>
  </si>
  <si>
    <t>A</t>
  </si>
  <si>
    <t>B</t>
  </si>
  <si>
    <t>Fractions</t>
  </si>
  <si>
    <t>Column1</t>
  </si>
  <si>
    <t>ƃ</t>
  </si>
  <si>
    <t>Ɓ</t>
  </si>
  <si>
    <t>Ƅ</t>
  </si>
  <si>
    <t>ƀ</t>
  </si>
  <si>
    <t>ƅ</t>
  </si>
  <si>
    <t>Ƃ</t>
  </si>
  <si>
    <t>Ɔ</t>
  </si>
  <si>
    <t>Span</t>
  </si>
  <si>
    <t>Haunch Data and Deflection Data</t>
  </si>
  <si>
    <t>Beam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</si>
</sst>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9" formatCode="0.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FDOT"/>
    </font>
    <font>
      <sz val="17"/>
      <color theme="1"/>
      <name val="FDOT Bold"/>
    </font>
    <font>
      <sz val="11"/>
      <color theme="1"/>
      <name val="FDOT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3" fillId="0" borderId="5" xfId="1" applyFont="1" applyBorder="1" applyAlignment="1">
      <alignment horizontal="center" vertical="center" wrapText="1"/>
    </xf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1" fillId="0" borderId="0" xfId="1" applyAlignment="1">
      <alignment horizontal="center"/>
    </xf>
    <xf numFmtId="0" fontId="1" fillId="0" borderId="0" xfId="1"/>
    <xf numFmtId="0" fontId="4" fillId="0" borderId="0" xfId="1" applyFont="1"/>
    <xf numFmtId="0" fontId="4" fillId="0" borderId="2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69" fontId="4" fillId="0" borderId="2" xfId="0" applyNumberFormat="1" applyFont="1" applyBorder="1" applyAlignment="1">
      <alignment horizontal="center" vertical="center"/>
    </xf>
    <xf numFmtId="169" fontId="4" fillId="0" borderId="8" xfId="0" applyNumberFormat="1" applyFont="1" applyBorder="1" applyAlignment="1">
      <alignment horizontal="center" vertical="center"/>
    </xf>
    <xf numFmtId="169" fontId="4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wrapText="1"/>
    </xf>
  </cellXfs>
  <cellStyles count="2">
    <cellStyle name="Normal" xfId="0" builtinId="0"/>
    <cellStyle name="Normal 2 2" xfId="1" xr:uid="{3A4B09AF-5D82-40EA-A16F-14CE3F99B5B4}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DOT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C0FF4C7-62BD-43E8-80D2-22AF4348B002}" name="fract" displayName="fract" ref="S2:T9" totalsRowShown="0">
  <autoFilter ref="S2:T9" xr:uid="{DF27C42E-8BCE-40AF-BBA4-B3872D77D743}"/>
  <tableColumns count="2">
    <tableColumn id="1" xr3:uid="{A0235351-7975-41E6-8240-FB720FACAB92}" name="Fractions"/>
    <tableColumn id="2" xr3:uid="{A1C0D087-EFF3-46C8-A605-9C01D96DCCEF}" name="Column1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ED4A7-3002-4E0D-95CC-971CCE6B68CE}">
  <dimension ref="A1:G7"/>
  <sheetViews>
    <sheetView tabSelected="1" workbookViewId="0">
      <selection activeCell="G15" sqref="G15"/>
    </sheetView>
  </sheetViews>
  <sheetFormatPr defaultRowHeight="15" x14ac:dyDescent="0.25"/>
  <sheetData>
    <row r="1" spans="1:7" x14ac:dyDescent="0.25">
      <c r="A1" s="2" t="s">
        <v>24</v>
      </c>
      <c r="B1" s="2"/>
      <c r="C1" s="2"/>
      <c r="D1" s="2"/>
      <c r="E1" s="2"/>
      <c r="F1" s="2"/>
      <c r="G1" s="2"/>
    </row>
    <row r="2" spans="1:7" x14ac:dyDescent="0.25">
      <c r="A2" s="20" t="s">
        <v>23</v>
      </c>
      <c r="B2" s="20" t="s">
        <v>25</v>
      </c>
      <c r="C2" s="1" t="s">
        <v>6</v>
      </c>
      <c r="D2" s="1" t="s">
        <v>7</v>
      </c>
      <c r="E2" s="1" t="s">
        <v>8</v>
      </c>
      <c r="F2" s="1" t="s">
        <v>12</v>
      </c>
      <c r="G2" s="1" t="s">
        <v>13</v>
      </c>
    </row>
    <row r="7" spans="1:7" ht="15.75" customHeight="1" x14ac:dyDescent="0.25"/>
  </sheetData>
  <mergeCells count="1">
    <mergeCell ref="A1:G1"/>
  </mergeCell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69DDD-3C73-464A-9138-EA73241A06DB}">
  <dimension ref="A1:T179"/>
  <sheetViews>
    <sheetView workbookViewId="0">
      <selection activeCell="M9" sqref="M9"/>
    </sheetView>
  </sheetViews>
  <sheetFormatPr defaultRowHeight="15" x14ac:dyDescent="0.25"/>
  <cols>
    <col min="1" max="5" width="15.7109375" customWidth="1"/>
    <col min="8" max="11" width="15.7109375" customWidth="1"/>
  </cols>
  <sheetData>
    <row r="1" spans="1:20" ht="54" customHeight="1" thickTop="1" thickBot="1" x14ac:dyDescent="0.3">
      <c r="A1" s="7" t="s">
        <v>0</v>
      </c>
      <c r="B1" s="8"/>
      <c r="C1" s="8"/>
      <c r="D1" s="8"/>
      <c r="E1" s="9"/>
    </row>
    <row r="2" spans="1:20" ht="18" customHeight="1" thickTop="1" x14ac:dyDescent="0.25">
      <c r="A2" s="3" t="s">
        <v>1</v>
      </c>
      <c r="B2" s="3" t="s">
        <v>2</v>
      </c>
      <c r="C2" s="3" t="s">
        <v>3</v>
      </c>
      <c r="D2" s="3" t="s">
        <v>4</v>
      </c>
      <c r="E2" s="3" t="s">
        <v>5</v>
      </c>
      <c r="H2" s="3" t="s">
        <v>1</v>
      </c>
      <c r="I2" s="3" t="s">
        <v>2</v>
      </c>
      <c r="J2" s="4" t="s">
        <v>9</v>
      </c>
      <c r="K2" s="4" t="s">
        <v>10</v>
      </c>
      <c r="S2" s="10" t="s">
        <v>14</v>
      </c>
      <c r="T2" s="10" t="s">
        <v>15</v>
      </c>
    </row>
    <row r="3" spans="1:20" ht="18" customHeight="1" thickBot="1" x14ac:dyDescent="0.3">
      <c r="A3" s="5"/>
      <c r="B3" s="5"/>
      <c r="C3" s="5"/>
      <c r="D3" s="5"/>
      <c r="E3" s="5"/>
      <c r="H3" s="5"/>
      <c r="I3" s="5"/>
      <c r="J3" s="6" t="s">
        <v>11</v>
      </c>
      <c r="K3" s="6" t="s">
        <v>11</v>
      </c>
      <c r="S3" s="11">
        <f>ROUND(1/8,3)</f>
        <v>0.125</v>
      </c>
      <c r="T3" s="12" t="s">
        <v>16</v>
      </c>
    </row>
    <row r="4" spans="1:20" ht="18" customHeight="1" thickTop="1" x14ac:dyDescent="0.25">
      <c r="A4" s="13">
        <f>Output!A3</f>
        <v>0</v>
      </c>
      <c r="B4" s="13">
        <f>Output!B3</f>
        <v>0</v>
      </c>
      <c r="C4" s="13" t="str">
        <f>IFERROR(INT(Output!C3)&amp;" "&amp;IF(MROUND((Output!C3-INT(Output!C3)),1/8)=0,"",VLOOKUP(MROUND((Output!C3-INT(Output!C3)),1/8),fract[],2,FALSE))&amp;"''","")</f>
        <v>0 ''</v>
      </c>
      <c r="D4" s="15" t="str">
        <f>IFERROR(ROUND(INT(Output!D3)/12,0)&amp;"'-"&amp;INT((Output!D3/12-INT(Output!D3/12))*12)&amp;" "&amp;IF(MROUND((Output!D3/12-INT(Output!D3/12))*12-INT((Output!D3/12-INT(Output!D3/12))*12),1/8)=0,"",VLOOKUP(MROUND((Output!D3/12-INT(Output!D3/12))*12-INT((Output!D3/12-INT(Output!D3/12))*12),1/8),fract[],2,FALSE))&amp;"''","")</f>
        <v>0'-0 ''</v>
      </c>
      <c r="E4" s="13" t="str">
        <f>IFERROR(INT(Output!E3)&amp;" "&amp;IF(MROUND((Output!E3-INT(Output!E3)),1/8)=0,"",VLOOKUP(MROUND((Output!E3-INT(Output!E3)),1/8),fract[],2,FALSE))&amp;"''","")</f>
        <v>0 ''</v>
      </c>
      <c r="F4" s="14"/>
      <c r="G4" s="14"/>
      <c r="H4" s="13">
        <f>A4</f>
        <v>0</v>
      </c>
      <c r="I4" s="13">
        <f>B4</f>
        <v>0</v>
      </c>
      <c r="J4" s="17">
        <f>Output!F3</f>
        <v>0</v>
      </c>
      <c r="K4" s="17">
        <f>Output!G3</f>
        <v>0</v>
      </c>
      <c r="S4" s="11">
        <f>ROUND(2/8,3)</f>
        <v>0.25</v>
      </c>
      <c r="T4" s="12" t="s">
        <v>17</v>
      </c>
    </row>
    <row r="5" spans="1:20" ht="18" customHeight="1" x14ac:dyDescent="0.25">
      <c r="A5" s="15">
        <f>Output!A4</f>
        <v>0</v>
      </c>
      <c r="B5" s="15">
        <f>Output!B4</f>
        <v>0</v>
      </c>
      <c r="C5" s="15" t="str">
        <f>IFERROR(INT(Output!C4)&amp;" "&amp;IF(MROUND((Output!C4-INT(Output!C4)),1/8)=0,"",VLOOKUP(MROUND((Output!C4-INT(Output!C4)),1/8),fract[],2,FALSE))&amp;"''","")</f>
        <v>0 ''</v>
      </c>
      <c r="D5" s="15" t="str">
        <f>IFERROR(ROUND(INT(Output!D4)/12,0)&amp;"'-"&amp;INT((Output!D4/12-INT(Output!D4/12))*12)&amp;" "&amp;IF(MROUND((Output!D4/12-INT(Output!D4/12))*12-INT((Output!D4/12-INT(Output!D4/12))*12),1/8)=0,"",VLOOKUP(MROUND((Output!D4/12-INT(Output!D4/12))*12-INT((Output!D4/12-INT(Output!D4/12))*12),1/8),fract[],2,FALSE))&amp;"''","")</f>
        <v>0'-0 ''</v>
      </c>
      <c r="E5" s="15" t="str">
        <f>IFERROR(INT(Output!E4)&amp;" "&amp;IF(MROUND((Output!E4-INT(Output!E4)),1/8)=0,"",VLOOKUP(MROUND((Output!E4-INT(Output!E4)),1/8),fract[],2,FALSE))&amp;"''","")</f>
        <v>0 ''</v>
      </c>
      <c r="F5" s="14"/>
      <c r="G5" s="14"/>
      <c r="H5" s="15">
        <f t="shared" ref="H5:H68" si="0">A5</f>
        <v>0</v>
      </c>
      <c r="I5" s="15">
        <f t="shared" ref="I5:I68" si="1">B5</f>
        <v>0</v>
      </c>
      <c r="J5" s="18">
        <f>Output!F4</f>
        <v>0</v>
      </c>
      <c r="K5" s="18">
        <f>Output!G4</f>
        <v>0</v>
      </c>
      <c r="S5" s="11">
        <f>ROUND(3/8,3)</f>
        <v>0.375</v>
      </c>
      <c r="T5" s="12" t="s">
        <v>18</v>
      </c>
    </row>
    <row r="6" spans="1:20" ht="18" customHeight="1" x14ac:dyDescent="0.25">
      <c r="A6" s="15">
        <f>Output!A5</f>
        <v>0</v>
      </c>
      <c r="B6" s="15">
        <f>Output!B5</f>
        <v>0</v>
      </c>
      <c r="C6" s="15" t="str">
        <f>IFERROR(INT(Output!C5)&amp;" "&amp;IF(MROUND((Output!C5-INT(Output!C5)),1/8)=0,"",VLOOKUP(MROUND((Output!C5-INT(Output!C5)),1/8),fract[],2,FALSE))&amp;"''","")</f>
        <v>0 ''</v>
      </c>
      <c r="D6" s="15" t="str">
        <f>IFERROR(ROUND(INT(Output!D5)/12,0)&amp;"'-"&amp;INT((Output!D5/12-INT(Output!D5/12))*12)&amp;" "&amp;IF(MROUND((Output!D5/12-INT(Output!D5/12))*12-INT((Output!D5/12-INT(Output!D5/12))*12),1/8)=0,"",VLOOKUP(MROUND((Output!D5/12-INT(Output!D5/12))*12-INT((Output!D5/12-INT(Output!D5/12))*12),1/8),fract[],2,FALSE))&amp;"''","")</f>
        <v>0'-0 ''</v>
      </c>
      <c r="E6" s="15" t="str">
        <f>IFERROR(INT(Output!E5)&amp;" "&amp;IF(MROUND((Output!E5-INT(Output!E5)),1/8)=0,"",VLOOKUP(MROUND((Output!E5-INT(Output!E5)),1/8),fract[],2,FALSE))&amp;"''","")</f>
        <v>0 ''</v>
      </c>
      <c r="F6" s="14"/>
      <c r="G6" s="14"/>
      <c r="H6" s="15">
        <f t="shared" si="0"/>
        <v>0</v>
      </c>
      <c r="I6" s="15">
        <f t="shared" si="1"/>
        <v>0</v>
      </c>
      <c r="J6" s="18">
        <f>Output!F5</f>
        <v>0</v>
      </c>
      <c r="K6" s="18">
        <f>Output!G5</f>
        <v>0</v>
      </c>
      <c r="S6" s="11">
        <f>ROUND(4/8,3)</f>
        <v>0.5</v>
      </c>
      <c r="T6" s="12" t="s">
        <v>19</v>
      </c>
    </row>
    <row r="7" spans="1:20" ht="18" customHeight="1" x14ac:dyDescent="0.25">
      <c r="A7" s="15">
        <f>Output!A6</f>
        <v>0</v>
      </c>
      <c r="B7" s="15">
        <f>Output!B6</f>
        <v>0</v>
      </c>
      <c r="C7" s="15" t="str">
        <f>IFERROR(INT(Output!C6)&amp;" "&amp;IF(MROUND((Output!C6-INT(Output!C6)),1/8)=0,"",VLOOKUP(MROUND((Output!C6-INT(Output!C6)),1/8),fract[],2,FALSE))&amp;"''","")</f>
        <v>0 ''</v>
      </c>
      <c r="D7" s="15" t="str">
        <f>IFERROR(ROUND(INT(Output!D6)/12,0)&amp;"'-"&amp;INT((Output!D6/12-INT(Output!D6/12))*12)&amp;" "&amp;IF(MROUND((Output!D6/12-INT(Output!D6/12))*12-INT((Output!D6/12-INT(Output!D6/12))*12),1/8)=0,"",VLOOKUP(MROUND((Output!D6/12-INT(Output!D6/12))*12-INT((Output!D6/12-INT(Output!D6/12))*12),1/8),fract[],2,FALSE))&amp;"''","")</f>
        <v>0'-0 ''</v>
      </c>
      <c r="E7" s="15" t="str">
        <f>IFERROR(INT(Output!E6)&amp;" "&amp;IF(MROUND((Output!E6-INT(Output!E6)),1/8)=0,"",VLOOKUP(MROUND((Output!E6-INT(Output!E6)),1/8),fract[],2,FALSE))&amp;"''","")</f>
        <v>0 ''</v>
      </c>
      <c r="F7" s="14"/>
      <c r="G7" s="14"/>
      <c r="H7" s="15">
        <f t="shared" si="0"/>
        <v>0</v>
      </c>
      <c r="I7" s="15">
        <f t="shared" si="1"/>
        <v>0</v>
      </c>
      <c r="J7" s="18">
        <f>Output!F6</f>
        <v>0</v>
      </c>
      <c r="K7" s="18">
        <f>Output!G6</f>
        <v>0</v>
      </c>
      <c r="S7" s="11">
        <f>ROUND(5/8,3)</f>
        <v>0.625</v>
      </c>
      <c r="T7" s="12" t="s">
        <v>20</v>
      </c>
    </row>
    <row r="8" spans="1:20" ht="18" customHeight="1" x14ac:dyDescent="0.25">
      <c r="A8" s="15">
        <f>Output!A7</f>
        <v>0</v>
      </c>
      <c r="B8" s="15">
        <f>Output!B7</f>
        <v>0</v>
      </c>
      <c r="C8" s="15" t="str">
        <f>IFERROR(INT(Output!C7)&amp;" "&amp;IF(MROUND((Output!C7-INT(Output!C7)),1/8)=0,"",VLOOKUP(MROUND((Output!C7-INT(Output!C7)),1/8),fract[],2,FALSE))&amp;"''","")</f>
        <v>0 ''</v>
      </c>
      <c r="D8" s="15" t="str">
        <f>IFERROR(ROUND(INT(Output!D7)/12,0)&amp;"'-"&amp;INT((Output!D7/12-INT(Output!D7/12))*12)&amp;" "&amp;IF(MROUND((Output!D7/12-INT(Output!D7/12))*12-INT((Output!D7/12-INT(Output!D7/12))*12),1/8)=0,"",VLOOKUP(MROUND((Output!D7/12-INT(Output!D7/12))*12-INT((Output!D7/12-INT(Output!D7/12))*12),1/8),fract[],2,FALSE))&amp;"''","")</f>
        <v>0'-0 ''</v>
      </c>
      <c r="E8" s="15" t="str">
        <f>IFERROR(INT(Output!E7)&amp;" "&amp;IF(MROUND((Output!E7-INT(Output!E7)),1/8)=0,"",VLOOKUP(MROUND((Output!E7-INT(Output!E7)),1/8),fract[],2,FALSE))&amp;"''","")</f>
        <v>0 ''</v>
      </c>
      <c r="F8" s="14"/>
      <c r="G8" s="14"/>
      <c r="H8" s="15">
        <f t="shared" si="0"/>
        <v>0</v>
      </c>
      <c r="I8" s="15">
        <f t="shared" si="1"/>
        <v>0</v>
      </c>
      <c r="J8" s="18">
        <f>Output!F7</f>
        <v>0</v>
      </c>
      <c r="K8" s="18">
        <f>Output!G7</f>
        <v>0</v>
      </c>
      <c r="S8" s="11">
        <f>ROUND(6/8,3)</f>
        <v>0.75</v>
      </c>
      <c r="T8" s="12" t="s">
        <v>21</v>
      </c>
    </row>
    <row r="9" spans="1:20" ht="18" customHeight="1" x14ac:dyDescent="0.25">
      <c r="A9" s="15">
        <f>Output!A8</f>
        <v>0</v>
      </c>
      <c r="B9" s="15">
        <f>Output!B8</f>
        <v>0</v>
      </c>
      <c r="C9" s="15" t="str">
        <f>IFERROR(INT(Output!C8)&amp;" "&amp;IF(MROUND((Output!C8-INT(Output!C8)),1/8)=0,"",VLOOKUP(MROUND((Output!C8-INT(Output!C8)),1/8),fract[],2,FALSE))&amp;"''","")</f>
        <v>0 ''</v>
      </c>
      <c r="D9" s="15" t="str">
        <f>IFERROR(ROUND(INT(Output!D8)/12,0)&amp;"'-"&amp;INT((Output!D8/12-INT(Output!D8/12))*12)&amp;" "&amp;IF(MROUND((Output!D8/12-INT(Output!D8/12))*12-INT((Output!D8/12-INT(Output!D8/12))*12),1/8)=0,"",VLOOKUP(MROUND((Output!D8/12-INT(Output!D8/12))*12-INT((Output!D8/12-INT(Output!D8/12))*12),1/8),fract[],2,FALSE))&amp;"''","")</f>
        <v>0'-0 ''</v>
      </c>
      <c r="E9" s="15" t="str">
        <f>IFERROR(INT(Output!E8)&amp;" "&amp;IF(MROUND((Output!E8-INT(Output!E8)),1/8)=0,"",VLOOKUP(MROUND((Output!E8-INT(Output!E8)),1/8),fract[],2,FALSE))&amp;"''","")</f>
        <v>0 ''</v>
      </c>
      <c r="F9" s="14"/>
      <c r="G9" s="14"/>
      <c r="H9" s="15">
        <f t="shared" si="0"/>
        <v>0</v>
      </c>
      <c r="I9" s="15">
        <f t="shared" si="1"/>
        <v>0</v>
      </c>
      <c r="J9" s="18">
        <f>Output!F8</f>
        <v>0</v>
      </c>
      <c r="K9" s="18">
        <f>Output!G8</f>
        <v>0</v>
      </c>
      <c r="S9" s="11">
        <f>ROUND(7/8,3)</f>
        <v>0.875</v>
      </c>
      <c r="T9" s="12" t="s">
        <v>22</v>
      </c>
    </row>
    <row r="10" spans="1:20" ht="18" customHeight="1" x14ac:dyDescent="0.25">
      <c r="A10" s="15">
        <f>Output!A9</f>
        <v>0</v>
      </c>
      <c r="B10" s="15">
        <f>Output!B9</f>
        <v>0</v>
      </c>
      <c r="C10" s="15" t="str">
        <f>IFERROR(INT(Output!C9)&amp;" "&amp;IF(MROUND((Output!C9-INT(Output!C9)),1/8)=0,"",VLOOKUP(MROUND((Output!C9-INT(Output!C9)),1/8),fract[],2,FALSE))&amp;"''","")</f>
        <v>0 ''</v>
      </c>
      <c r="D10" s="15" t="str">
        <f>IFERROR(ROUND(INT(Output!D9)/12,0)&amp;"'-"&amp;INT((Output!D9/12-INT(Output!D9/12))*12)&amp;" "&amp;IF(MROUND((Output!D9/12-INT(Output!D9/12))*12-INT((Output!D9/12-INT(Output!D9/12))*12),1/8)=0,"",VLOOKUP(MROUND((Output!D9/12-INT(Output!D9/12))*12-INT((Output!D9/12-INT(Output!D9/12))*12),1/8),fract[],2,FALSE))&amp;"''","")</f>
        <v>0'-0 ''</v>
      </c>
      <c r="E10" s="15" t="str">
        <f>IFERROR(INT(Output!E9)&amp;" "&amp;IF(MROUND((Output!E9-INT(Output!E9)),1/8)=0,"",VLOOKUP(MROUND((Output!E9-INT(Output!E9)),1/8),fract[],2,FALSE))&amp;"''","")</f>
        <v>0 ''</v>
      </c>
      <c r="F10" s="14"/>
      <c r="G10" s="14"/>
      <c r="H10" s="15">
        <f t="shared" si="0"/>
        <v>0</v>
      </c>
      <c r="I10" s="15">
        <f t="shared" si="1"/>
        <v>0</v>
      </c>
      <c r="J10" s="18">
        <f>Output!F9</f>
        <v>0</v>
      </c>
      <c r="K10" s="18">
        <f>Output!G9</f>
        <v>0</v>
      </c>
    </row>
    <row r="11" spans="1:20" ht="18" customHeight="1" x14ac:dyDescent="0.25">
      <c r="A11" s="15">
        <f>Output!A10</f>
        <v>0</v>
      </c>
      <c r="B11" s="15">
        <f>Output!B10</f>
        <v>0</v>
      </c>
      <c r="C11" s="15" t="str">
        <f>IFERROR(INT(Output!C10)&amp;" "&amp;IF(MROUND((Output!C10-INT(Output!C10)),1/8)=0,"",VLOOKUP(MROUND((Output!C10-INT(Output!C10)),1/8),fract[],2,FALSE))&amp;"''","")</f>
        <v>0 ''</v>
      </c>
      <c r="D11" s="15" t="str">
        <f>IFERROR(ROUND(INT(Output!D10)/12,0)&amp;"'-"&amp;INT((Output!D10/12-INT(Output!D10/12))*12)&amp;" "&amp;IF(MROUND((Output!D10/12-INT(Output!D10/12))*12-INT((Output!D10/12-INT(Output!D10/12))*12),1/8)=0,"",VLOOKUP(MROUND((Output!D10/12-INT(Output!D10/12))*12-INT((Output!D10/12-INT(Output!D10/12))*12),1/8),fract[],2,FALSE))&amp;"''","")</f>
        <v>0'-0 ''</v>
      </c>
      <c r="E11" s="15" t="str">
        <f>IFERROR(INT(Output!E10)&amp;" "&amp;IF(MROUND((Output!E10-INT(Output!E10)),1/8)=0,"",VLOOKUP(MROUND((Output!E10-INT(Output!E10)),1/8),fract[],2,FALSE))&amp;"''","")</f>
        <v>0 ''</v>
      </c>
      <c r="F11" s="14"/>
      <c r="G11" s="14"/>
      <c r="H11" s="15">
        <f t="shared" si="0"/>
        <v>0</v>
      </c>
      <c r="I11" s="15">
        <f t="shared" si="1"/>
        <v>0</v>
      </c>
      <c r="J11" s="18">
        <f>Output!F10</f>
        <v>0</v>
      </c>
      <c r="K11" s="18">
        <f>Output!G10</f>
        <v>0</v>
      </c>
    </row>
    <row r="12" spans="1:20" ht="18" customHeight="1" x14ac:dyDescent="0.25">
      <c r="A12" s="15">
        <f>Output!A11</f>
        <v>0</v>
      </c>
      <c r="B12" s="15">
        <f>Output!B11</f>
        <v>0</v>
      </c>
      <c r="C12" s="15" t="str">
        <f>IFERROR(INT(Output!C11)&amp;" "&amp;IF(MROUND((Output!C11-INT(Output!C11)),1/8)=0,"",VLOOKUP(MROUND((Output!C11-INT(Output!C11)),1/8),fract[],2,FALSE))&amp;"''","")</f>
        <v>0 ''</v>
      </c>
      <c r="D12" s="15" t="str">
        <f>IFERROR(ROUND(INT(Output!D11)/12,0)&amp;"'-"&amp;INT((Output!D11/12-INT(Output!D11/12))*12)&amp;" "&amp;IF(MROUND((Output!D11/12-INT(Output!D11/12))*12-INT((Output!D11/12-INT(Output!D11/12))*12),1/8)=0,"",VLOOKUP(MROUND((Output!D11/12-INT(Output!D11/12))*12-INT((Output!D11/12-INT(Output!D11/12))*12),1/8),fract[],2,FALSE))&amp;"''","")</f>
        <v>0'-0 ''</v>
      </c>
      <c r="E12" s="15" t="str">
        <f>IFERROR(INT(Output!E11)&amp;" "&amp;IF(MROUND((Output!E11-INT(Output!E11)),1/8)=0,"",VLOOKUP(MROUND((Output!E11-INT(Output!E11)),1/8),fract[],2,FALSE))&amp;"''","")</f>
        <v>0 ''</v>
      </c>
      <c r="F12" s="14"/>
      <c r="G12" s="14"/>
      <c r="H12" s="15">
        <f t="shared" si="0"/>
        <v>0</v>
      </c>
      <c r="I12" s="15">
        <f t="shared" si="1"/>
        <v>0</v>
      </c>
      <c r="J12" s="18">
        <f>Output!F11</f>
        <v>0</v>
      </c>
      <c r="K12" s="18">
        <f>Output!G11</f>
        <v>0</v>
      </c>
    </row>
    <row r="13" spans="1:20" ht="18" customHeight="1" x14ac:dyDescent="0.25">
      <c r="A13" s="15">
        <f>Output!A12</f>
        <v>0</v>
      </c>
      <c r="B13" s="15">
        <f>Output!B12</f>
        <v>0</v>
      </c>
      <c r="C13" s="15" t="str">
        <f>IFERROR(INT(Output!C12)&amp;" "&amp;IF(MROUND((Output!C12-INT(Output!C12)),1/8)=0,"",VLOOKUP(MROUND((Output!C12-INT(Output!C12)),1/8),fract[],2,FALSE))&amp;"''","")</f>
        <v>0 ''</v>
      </c>
      <c r="D13" s="15" t="str">
        <f>IFERROR(ROUND(INT(Output!D12)/12,0)&amp;"'-"&amp;INT((Output!D12/12-INT(Output!D12/12))*12)&amp;" "&amp;IF(MROUND((Output!D12/12-INT(Output!D12/12))*12-INT((Output!D12/12-INT(Output!D12/12))*12),1/8)=0,"",VLOOKUP(MROUND((Output!D12/12-INT(Output!D12/12))*12-INT((Output!D12/12-INT(Output!D12/12))*12),1/8),fract[],2,FALSE))&amp;"''","")</f>
        <v>0'-0 ''</v>
      </c>
      <c r="E13" s="15" t="str">
        <f>IFERROR(INT(Output!E12)&amp;" "&amp;IF(MROUND((Output!E12-INT(Output!E12)),1/8)=0,"",VLOOKUP(MROUND((Output!E12-INT(Output!E12)),1/8),fract[],2,FALSE))&amp;"''","")</f>
        <v>0 ''</v>
      </c>
      <c r="F13" s="14"/>
      <c r="G13" s="14"/>
      <c r="H13" s="15">
        <f t="shared" si="0"/>
        <v>0</v>
      </c>
      <c r="I13" s="15">
        <f t="shared" si="1"/>
        <v>0</v>
      </c>
      <c r="J13" s="18">
        <f>Output!F12</f>
        <v>0</v>
      </c>
      <c r="K13" s="18">
        <f>Output!G12</f>
        <v>0</v>
      </c>
    </row>
    <row r="14" spans="1:20" ht="18" customHeight="1" x14ac:dyDescent="0.25">
      <c r="A14" s="15">
        <f>Output!A13</f>
        <v>0</v>
      </c>
      <c r="B14" s="15">
        <f>Output!B13</f>
        <v>0</v>
      </c>
      <c r="C14" s="15" t="str">
        <f>IFERROR(INT(Output!C13)&amp;" "&amp;IF(MROUND((Output!C13-INT(Output!C13)),1/8)=0,"",VLOOKUP(MROUND((Output!C13-INT(Output!C13)),1/8),fract[],2,FALSE))&amp;"''","")</f>
        <v>0 ''</v>
      </c>
      <c r="D14" s="15" t="str">
        <f>IFERROR(ROUND(INT(Output!D13)/12,0)&amp;"'-"&amp;INT((Output!D13/12-INT(Output!D13/12))*12)&amp;" "&amp;IF(MROUND((Output!D13/12-INT(Output!D13/12))*12-INT((Output!D13/12-INT(Output!D13/12))*12),1/8)=0,"",VLOOKUP(MROUND((Output!D13/12-INT(Output!D13/12))*12-INT((Output!D13/12-INT(Output!D13/12))*12),1/8),fract[],2,FALSE))&amp;"''","")</f>
        <v>0'-0 ''</v>
      </c>
      <c r="E14" s="15" t="str">
        <f>IFERROR(INT(Output!E13)&amp;" "&amp;IF(MROUND((Output!E13-INT(Output!E13)),1/8)=0,"",VLOOKUP(MROUND((Output!E13-INT(Output!E13)),1/8),fract[],2,FALSE))&amp;"''","")</f>
        <v>0 ''</v>
      </c>
      <c r="F14" s="14"/>
      <c r="G14" s="14"/>
      <c r="H14" s="15">
        <f t="shared" si="0"/>
        <v>0</v>
      </c>
      <c r="I14" s="15">
        <f t="shared" si="1"/>
        <v>0</v>
      </c>
      <c r="J14" s="18">
        <f>Output!F13</f>
        <v>0</v>
      </c>
      <c r="K14" s="18">
        <f>Output!G13</f>
        <v>0</v>
      </c>
    </row>
    <row r="15" spans="1:20" ht="18" customHeight="1" x14ac:dyDescent="0.25">
      <c r="A15" s="15">
        <f>Output!A14</f>
        <v>0</v>
      </c>
      <c r="B15" s="15">
        <f>Output!B14</f>
        <v>0</v>
      </c>
      <c r="C15" s="15" t="str">
        <f>IFERROR(INT(Output!C14)&amp;" "&amp;IF(MROUND((Output!C14-INT(Output!C14)),1/8)=0,"",VLOOKUP(MROUND((Output!C14-INT(Output!C14)),1/8),fract[],2,FALSE))&amp;"''","")</f>
        <v>0 ''</v>
      </c>
      <c r="D15" s="15" t="str">
        <f>IFERROR(ROUND(INT(Output!D14)/12,0)&amp;"'-"&amp;INT((Output!D14/12-INT(Output!D14/12))*12)&amp;" "&amp;IF(MROUND((Output!D14/12-INT(Output!D14/12))*12-INT((Output!D14/12-INT(Output!D14/12))*12),1/8)=0,"",VLOOKUP(MROUND((Output!D14/12-INT(Output!D14/12))*12-INT((Output!D14/12-INT(Output!D14/12))*12),1/8),fract[],2,FALSE))&amp;"''","")</f>
        <v>0'-0 ''</v>
      </c>
      <c r="E15" s="15" t="str">
        <f>IFERROR(INT(Output!E14)&amp;" "&amp;IF(MROUND((Output!E14-INT(Output!E14)),1/8)=0,"",VLOOKUP(MROUND((Output!E14-INT(Output!E14)),1/8),fract[],2,FALSE))&amp;"''","")</f>
        <v>0 ''</v>
      </c>
      <c r="F15" s="14"/>
      <c r="G15" s="14"/>
      <c r="H15" s="15">
        <f t="shared" si="0"/>
        <v>0</v>
      </c>
      <c r="I15" s="15">
        <f t="shared" si="1"/>
        <v>0</v>
      </c>
      <c r="J15" s="18">
        <f>Output!F14</f>
        <v>0</v>
      </c>
      <c r="K15" s="18">
        <f>Output!G14</f>
        <v>0</v>
      </c>
    </row>
    <row r="16" spans="1:20" ht="18" customHeight="1" x14ac:dyDescent="0.25">
      <c r="A16" s="15">
        <f>Output!A15</f>
        <v>0</v>
      </c>
      <c r="B16" s="15">
        <f>Output!B15</f>
        <v>0</v>
      </c>
      <c r="C16" s="15" t="str">
        <f>IFERROR(INT(Output!C15)&amp;" "&amp;IF(MROUND((Output!C15-INT(Output!C15)),1/8)=0,"",VLOOKUP(MROUND((Output!C15-INT(Output!C15)),1/8),fract[],2,FALSE))&amp;"''","")</f>
        <v>0 ''</v>
      </c>
      <c r="D16" s="15" t="str">
        <f>IFERROR(ROUND(INT(Output!D15)/12,0)&amp;"'-"&amp;INT((Output!D15/12-INT(Output!D15/12))*12)&amp;" "&amp;IF(MROUND((Output!D15/12-INT(Output!D15/12))*12-INT((Output!D15/12-INT(Output!D15/12))*12),1/8)=0,"",VLOOKUP(MROUND((Output!D15/12-INT(Output!D15/12))*12-INT((Output!D15/12-INT(Output!D15/12))*12),1/8),fract[],2,FALSE))&amp;"''","")</f>
        <v>0'-0 ''</v>
      </c>
      <c r="E16" s="15" t="str">
        <f>IFERROR(INT(Output!E15)&amp;" "&amp;IF(MROUND((Output!E15-INT(Output!E15)),1/8)=0,"",VLOOKUP(MROUND((Output!E15-INT(Output!E15)),1/8),fract[],2,FALSE))&amp;"''","")</f>
        <v>0 ''</v>
      </c>
      <c r="F16" s="14"/>
      <c r="G16" s="14"/>
      <c r="H16" s="15">
        <f t="shared" si="0"/>
        <v>0</v>
      </c>
      <c r="I16" s="15">
        <f t="shared" si="1"/>
        <v>0</v>
      </c>
      <c r="J16" s="18">
        <f>Output!F15</f>
        <v>0</v>
      </c>
      <c r="K16" s="18">
        <f>Output!G15</f>
        <v>0</v>
      </c>
    </row>
    <row r="17" spans="1:11" ht="18" customHeight="1" x14ac:dyDescent="0.25">
      <c r="A17" s="15">
        <f>Output!A16</f>
        <v>0</v>
      </c>
      <c r="B17" s="15">
        <f>Output!B16</f>
        <v>0</v>
      </c>
      <c r="C17" s="15" t="str">
        <f>IFERROR(INT(Output!C16)&amp;" "&amp;IF(MROUND((Output!C16-INT(Output!C16)),1/8)=0,"",VLOOKUP(MROUND((Output!C16-INT(Output!C16)),1/8),fract[],2,FALSE))&amp;"''","")</f>
        <v>0 ''</v>
      </c>
      <c r="D17" s="15" t="str">
        <f>IFERROR(ROUND(INT(Output!D16)/12,0)&amp;"'-"&amp;INT((Output!D16/12-INT(Output!D16/12))*12)&amp;" "&amp;IF(MROUND((Output!D16/12-INT(Output!D16/12))*12-INT((Output!D16/12-INT(Output!D16/12))*12),1/8)=0,"",VLOOKUP(MROUND((Output!D16/12-INT(Output!D16/12))*12-INT((Output!D16/12-INT(Output!D16/12))*12),1/8),fract[],2,FALSE))&amp;"''","")</f>
        <v>0'-0 ''</v>
      </c>
      <c r="E17" s="15" t="str">
        <f>IFERROR(INT(Output!E16)&amp;" "&amp;IF(MROUND((Output!E16-INT(Output!E16)),1/8)=0,"",VLOOKUP(MROUND((Output!E16-INT(Output!E16)),1/8),fract[],2,FALSE))&amp;"''","")</f>
        <v>0 ''</v>
      </c>
      <c r="F17" s="14"/>
      <c r="G17" s="14"/>
      <c r="H17" s="15">
        <f t="shared" si="0"/>
        <v>0</v>
      </c>
      <c r="I17" s="15">
        <f t="shared" si="1"/>
        <v>0</v>
      </c>
      <c r="J17" s="18">
        <f>Output!F16</f>
        <v>0</v>
      </c>
      <c r="K17" s="18">
        <f>Output!G16</f>
        <v>0</v>
      </c>
    </row>
    <row r="18" spans="1:11" ht="18" customHeight="1" x14ac:dyDescent="0.25">
      <c r="A18" s="15">
        <f>Output!A17</f>
        <v>0</v>
      </c>
      <c r="B18" s="15">
        <f>Output!B17</f>
        <v>0</v>
      </c>
      <c r="C18" s="15" t="str">
        <f>IFERROR(INT(Output!C17)&amp;" "&amp;IF(MROUND((Output!C17-INT(Output!C17)),1/8)=0,"",VLOOKUP(MROUND((Output!C17-INT(Output!C17)),1/8),fract[],2,FALSE))&amp;"''","")</f>
        <v>0 ''</v>
      </c>
      <c r="D18" s="15" t="str">
        <f>IFERROR(ROUND(INT(Output!D17)/12,0)&amp;"'-"&amp;INT((Output!D17/12-INT(Output!D17/12))*12)&amp;" "&amp;IF(MROUND((Output!D17/12-INT(Output!D17/12))*12-INT((Output!D17/12-INT(Output!D17/12))*12),1/8)=0,"",VLOOKUP(MROUND((Output!D17/12-INT(Output!D17/12))*12-INT((Output!D17/12-INT(Output!D17/12))*12),1/8),fract[],2,FALSE))&amp;"''","")</f>
        <v>0'-0 ''</v>
      </c>
      <c r="E18" s="15" t="str">
        <f>IFERROR(INT(Output!E17)&amp;" "&amp;IF(MROUND((Output!E17-INT(Output!E17)),1/8)=0,"",VLOOKUP(MROUND((Output!E17-INT(Output!E17)),1/8),fract[],2,FALSE))&amp;"''","")</f>
        <v>0 ''</v>
      </c>
      <c r="F18" s="14"/>
      <c r="G18" s="14"/>
      <c r="H18" s="15">
        <f t="shared" si="0"/>
        <v>0</v>
      </c>
      <c r="I18" s="15">
        <f t="shared" si="1"/>
        <v>0</v>
      </c>
      <c r="J18" s="18">
        <f>Output!F17</f>
        <v>0</v>
      </c>
      <c r="K18" s="18">
        <f>Output!G17</f>
        <v>0</v>
      </c>
    </row>
    <row r="19" spans="1:11" ht="18" customHeight="1" x14ac:dyDescent="0.25">
      <c r="A19" s="15">
        <f>Output!A18</f>
        <v>0</v>
      </c>
      <c r="B19" s="15">
        <f>Output!B18</f>
        <v>0</v>
      </c>
      <c r="C19" s="15" t="str">
        <f>IFERROR(INT(Output!C18)&amp;" "&amp;IF(MROUND((Output!C18-INT(Output!C18)),1/8)=0,"",VLOOKUP(MROUND((Output!C18-INT(Output!C18)),1/8),fract[],2,FALSE))&amp;"''","")</f>
        <v>0 ''</v>
      </c>
      <c r="D19" s="15" t="str">
        <f>IFERROR(ROUND(INT(Output!D18)/12,0)&amp;"'-"&amp;INT((Output!D18/12-INT(Output!D18/12))*12)&amp;" "&amp;IF(MROUND((Output!D18/12-INT(Output!D18/12))*12-INT((Output!D18/12-INT(Output!D18/12))*12),1/8)=0,"",VLOOKUP(MROUND((Output!D18/12-INT(Output!D18/12))*12-INT((Output!D18/12-INT(Output!D18/12))*12),1/8),fract[],2,FALSE))&amp;"''","")</f>
        <v>0'-0 ''</v>
      </c>
      <c r="E19" s="15" t="str">
        <f>IFERROR(INT(Output!E18)&amp;" "&amp;IF(MROUND((Output!E18-INT(Output!E18)),1/8)=0,"",VLOOKUP(MROUND((Output!E18-INT(Output!E18)),1/8),fract[],2,FALSE))&amp;"''","")</f>
        <v>0 ''</v>
      </c>
      <c r="F19" s="14"/>
      <c r="G19" s="14"/>
      <c r="H19" s="15">
        <f t="shared" si="0"/>
        <v>0</v>
      </c>
      <c r="I19" s="15">
        <f t="shared" si="1"/>
        <v>0</v>
      </c>
      <c r="J19" s="18">
        <f>Output!F18</f>
        <v>0</v>
      </c>
      <c r="K19" s="18">
        <f>Output!G18</f>
        <v>0</v>
      </c>
    </row>
    <row r="20" spans="1:11" ht="18" customHeight="1" x14ac:dyDescent="0.25">
      <c r="A20" s="15">
        <f>Output!A19</f>
        <v>0</v>
      </c>
      <c r="B20" s="15">
        <f>Output!B19</f>
        <v>0</v>
      </c>
      <c r="C20" s="15" t="str">
        <f>IFERROR(INT(Output!C19)&amp;" "&amp;IF(MROUND((Output!C19-INT(Output!C19)),1/8)=0,"",VLOOKUP(MROUND((Output!C19-INT(Output!C19)),1/8),fract[],2,FALSE))&amp;"''","")</f>
        <v>0 ''</v>
      </c>
      <c r="D20" s="15" t="str">
        <f>IFERROR(ROUND(INT(Output!D19)/12,0)&amp;"'-"&amp;INT((Output!D19/12-INT(Output!D19/12))*12)&amp;" "&amp;IF(MROUND((Output!D19/12-INT(Output!D19/12))*12-INT((Output!D19/12-INT(Output!D19/12))*12),1/8)=0,"",VLOOKUP(MROUND((Output!D19/12-INT(Output!D19/12))*12-INT((Output!D19/12-INT(Output!D19/12))*12),1/8),fract[],2,FALSE))&amp;"''","")</f>
        <v>0'-0 ''</v>
      </c>
      <c r="E20" s="15" t="str">
        <f>IFERROR(INT(Output!E19)&amp;" "&amp;IF(MROUND((Output!E19-INT(Output!E19)),1/8)=0,"",VLOOKUP(MROUND((Output!E19-INT(Output!E19)),1/8),fract[],2,FALSE))&amp;"''","")</f>
        <v>0 ''</v>
      </c>
      <c r="F20" s="14"/>
      <c r="G20" s="14"/>
      <c r="H20" s="15">
        <f t="shared" si="0"/>
        <v>0</v>
      </c>
      <c r="I20" s="15">
        <f t="shared" si="1"/>
        <v>0</v>
      </c>
      <c r="J20" s="18">
        <f>Output!F19</f>
        <v>0</v>
      </c>
      <c r="K20" s="18">
        <f>Output!G19</f>
        <v>0</v>
      </c>
    </row>
    <row r="21" spans="1:11" ht="18" customHeight="1" x14ac:dyDescent="0.25">
      <c r="A21" s="15">
        <f>Output!A20</f>
        <v>0</v>
      </c>
      <c r="B21" s="15">
        <f>Output!B20</f>
        <v>0</v>
      </c>
      <c r="C21" s="15" t="str">
        <f>IFERROR(INT(Output!C20)&amp;" "&amp;IF(MROUND((Output!C20-INT(Output!C20)),1/8)=0,"",VLOOKUP(MROUND((Output!C20-INT(Output!C20)),1/8),fract[],2,FALSE))&amp;"''","")</f>
        <v>0 ''</v>
      </c>
      <c r="D21" s="15" t="str">
        <f>IFERROR(ROUND(INT(Output!D20)/12,0)&amp;"'-"&amp;INT((Output!D20/12-INT(Output!D20/12))*12)&amp;" "&amp;IF(MROUND((Output!D20/12-INT(Output!D20/12))*12-INT((Output!D20/12-INT(Output!D20/12))*12),1/8)=0,"",VLOOKUP(MROUND((Output!D20/12-INT(Output!D20/12))*12-INT((Output!D20/12-INT(Output!D20/12))*12),1/8),fract[],2,FALSE))&amp;"''","")</f>
        <v>0'-0 ''</v>
      </c>
      <c r="E21" s="15" t="str">
        <f>IFERROR(INT(Output!E20)&amp;" "&amp;IF(MROUND((Output!E20-INT(Output!E20)),1/8)=0,"",VLOOKUP(MROUND((Output!E20-INT(Output!E20)),1/8),fract[],2,FALSE))&amp;"''","")</f>
        <v>0 ''</v>
      </c>
      <c r="F21" s="14"/>
      <c r="G21" s="14"/>
      <c r="H21" s="15">
        <f t="shared" si="0"/>
        <v>0</v>
      </c>
      <c r="I21" s="15">
        <f t="shared" si="1"/>
        <v>0</v>
      </c>
      <c r="J21" s="18">
        <f>Output!F20</f>
        <v>0</v>
      </c>
      <c r="K21" s="18">
        <f>Output!G20</f>
        <v>0</v>
      </c>
    </row>
    <row r="22" spans="1:11" ht="18" customHeight="1" x14ac:dyDescent="0.25">
      <c r="A22" s="15">
        <f>Output!A21</f>
        <v>0</v>
      </c>
      <c r="B22" s="15">
        <f>Output!B21</f>
        <v>0</v>
      </c>
      <c r="C22" s="15" t="str">
        <f>IFERROR(INT(Output!C21)&amp;" "&amp;IF(MROUND((Output!C21-INT(Output!C21)),1/8)=0,"",VLOOKUP(MROUND((Output!C21-INT(Output!C21)),1/8),fract[],2,FALSE))&amp;"''","")</f>
        <v>0 ''</v>
      </c>
      <c r="D22" s="15" t="str">
        <f>IFERROR(ROUND(INT(Output!D21)/12,0)&amp;"'-"&amp;INT((Output!D21/12-INT(Output!D21/12))*12)&amp;" "&amp;IF(MROUND((Output!D21/12-INT(Output!D21/12))*12-INT((Output!D21/12-INT(Output!D21/12))*12),1/8)=0,"",VLOOKUP(MROUND((Output!D21/12-INT(Output!D21/12))*12-INT((Output!D21/12-INT(Output!D21/12))*12),1/8),fract[],2,FALSE))&amp;"''","")</f>
        <v>0'-0 ''</v>
      </c>
      <c r="E22" s="15" t="str">
        <f>IFERROR(INT(Output!E21)&amp;" "&amp;IF(MROUND((Output!E21-INT(Output!E21)),1/8)=0,"",VLOOKUP(MROUND((Output!E21-INT(Output!E21)),1/8),fract[],2,FALSE))&amp;"''","")</f>
        <v>0 ''</v>
      </c>
      <c r="F22" s="14"/>
      <c r="G22" s="14"/>
      <c r="H22" s="15">
        <f t="shared" si="0"/>
        <v>0</v>
      </c>
      <c r="I22" s="15">
        <f t="shared" si="1"/>
        <v>0</v>
      </c>
      <c r="J22" s="18">
        <f>Output!F21</f>
        <v>0</v>
      </c>
      <c r="K22" s="18">
        <f>Output!G21</f>
        <v>0</v>
      </c>
    </row>
    <row r="23" spans="1:11" ht="18" customHeight="1" x14ac:dyDescent="0.25">
      <c r="A23" s="15">
        <f>Output!A22</f>
        <v>0</v>
      </c>
      <c r="B23" s="15">
        <f>Output!B22</f>
        <v>0</v>
      </c>
      <c r="C23" s="15" t="str">
        <f>IFERROR(INT(Output!C22)&amp;" "&amp;IF(MROUND((Output!C22-INT(Output!C22)),1/8)=0,"",VLOOKUP(MROUND((Output!C22-INT(Output!C22)),1/8),fract[],2,FALSE))&amp;"''","")</f>
        <v>0 ''</v>
      </c>
      <c r="D23" s="15" t="str">
        <f>IFERROR(ROUND(INT(Output!D22)/12,0)&amp;"'-"&amp;INT((Output!D22/12-INT(Output!D22/12))*12)&amp;" "&amp;IF(MROUND((Output!D22/12-INT(Output!D22/12))*12-INT((Output!D22/12-INT(Output!D22/12))*12),1/8)=0,"",VLOOKUP(MROUND((Output!D22/12-INT(Output!D22/12))*12-INT((Output!D22/12-INT(Output!D22/12))*12),1/8),fract[],2,FALSE))&amp;"''","")</f>
        <v>0'-0 ''</v>
      </c>
      <c r="E23" s="15" t="str">
        <f>IFERROR(INT(Output!E22)&amp;" "&amp;IF(MROUND((Output!E22-INT(Output!E22)),1/8)=0,"",VLOOKUP(MROUND((Output!E22-INT(Output!E22)),1/8),fract[],2,FALSE))&amp;"''","")</f>
        <v>0 ''</v>
      </c>
      <c r="F23" s="14"/>
      <c r="G23" s="14"/>
      <c r="H23" s="15">
        <f t="shared" si="0"/>
        <v>0</v>
      </c>
      <c r="I23" s="15">
        <f t="shared" si="1"/>
        <v>0</v>
      </c>
      <c r="J23" s="18">
        <f>Output!F22</f>
        <v>0</v>
      </c>
      <c r="K23" s="18">
        <f>Output!G22</f>
        <v>0</v>
      </c>
    </row>
    <row r="24" spans="1:11" ht="18" customHeight="1" x14ac:dyDescent="0.25">
      <c r="A24" s="15">
        <f>Output!A23</f>
        <v>0</v>
      </c>
      <c r="B24" s="15">
        <f>Output!B23</f>
        <v>0</v>
      </c>
      <c r="C24" s="15" t="str">
        <f>IFERROR(INT(Output!C23)&amp;" "&amp;IF(MROUND((Output!C23-INT(Output!C23)),1/8)=0,"",VLOOKUP(MROUND((Output!C23-INT(Output!C23)),1/8),fract[],2,FALSE))&amp;"''","")</f>
        <v>0 ''</v>
      </c>
      <c r="D24" s="15" t="str">
        <f>IFERROR(ROUND(INT(Output!D23)/12,0)&amp;"'-"&amp;INT((Output!D23/12-INT(Output!D23/12))*12)&amp;" "&amp;IF(MROUND((Output!D23/12-INT(Output!D23/12))*12-INT((Output!D23/12-INT(Output!D23/12))*12),1/8)=0,"",VLOOKUP(MROUND((Output!D23/12-INT(Output!D23/12))*12-INT((Output!D23/12-INT(Output!D23/12))*12),1/8),fract[],2,FALSE))&amp;"''","")</f>
        <v>0'-0 ''</v>
      </c>
      <c r="E24" s="15" t="str">
        <f>IFERROR(INT(Output!E23)&amp;" "&amp;IF(MROUND((Output!E23-INT(Output!E23)),1/8)=0,"",VLOOKUP(MROUND((Output!E23-INT(Output!E23)),1/8),fract[],2,FALSE))&amp;"''","")</f>
        <v>0 ''</v>
      </c>
      <c r="F24" s="14"/>
      <c r="G24" s="14"/>
      <c r="H24" s="15">
        <f t="shared" si="0"/>
        <v>0</v>
      </c>
      <c r="I24" s="15">
        <f t="shared" si="1"/>
        <v>0</v>
      </c>
      <c r="J24" s="18">
        <f>Output!F23</f>
        <v>0</v>
      </c>
      <c r="K24" s="18">
        <f>Output!G23</f>
        <v>0</v>
      </c>
    </row>
    <row r="25" spans="1:11" ht="18" customHeight="1" x14ac:dyDescent="0.25">
      <c r="A25" s="15">
        <f>Output!A24</f>
        <v>0</v>
      </c>
      <c r="B25" s="15">
        <f>Output!B24</f>
        <v>0</v>
      </c>
      <c r="C25" s="15" t="str">
        <f>IFERROR(INT(Output!C24)&amp;" "&amp;IF(MROUND((Output!C24-INT(Output!C24)),1/8)=0,"",VLOOKUP(MROUND((Output!C24-INT(Output!C24)),1/8),fract[],2,FALSE))&amp;"''","")</f>
        <v>0 ''</v>
      </c>
      <c r="D25" s="15" t="str">
        <f>IFERROR(ROUND(INT(Output!D24)/12,0)&amp;"'-"&amp;INT((Output!D24/12-INT(Output!D24/12))*12)&amp;" "&amp;IF(MROUND((Output!D24/12-INT(Output!D24/12))*12-INT((Output!D24/12-INT(Output!D24/12))*12),1/8)=0,"",VLOOKUP(MROUND((Output!D24/12-INT(Output!D24/12))*12-INT((Output!D24/12-INT(Output!D24/12))*12),1/8),fract[],2,FALSE))&amp;"''","")</f>
        <v>0'-0 ''</v>
      </c>
      <c r="E25" s="15" t="str">
        <f>IFERROR(INT(Output!E24)&amp;" "&amp;IF(MROUND((Output!E24-INT(Output!E24)),1/8)=0,"",VLOOKUP(MROUND((Output!E24-INT(Output!E24)),1/8),fract[],2,FALSE))&amp;"''","")</f>
        <v>0 ''</v>
      </c>
      <c r="F25" s="14"/>
      <c r="G25" s="14"/>
      <c r="H25" s="15">
        <f t="shared" si="0"/>
        <v>0</v>
      </c>
      <c r="I25" s="15">
        <f t="shared" si="1"/>
        <v>0</v>
      </c>
      <c r="J25" s="18">
        <f>Output!F24</f>
        <v>0</v>
      </c>
      <c r="K25" s="18">
        <f>Output!G24</f>
        <v>0</v>
      </c>
    </row>
    <row r="26" spans="1:11" ht="18" customHeight="1" x14ac:dyDescent="0.25">
      <c r="A26" s="15">
        <f>Output!A25</f>
        <v>0</v>
      </c>
      <c r="B26" s="15">
        <f>Output!B25</f>
        <v>0</v>
      </c>
      <c r="C26" s="15" t="str">
        <f>IFERROR(INT(Output!C25)&amp;" "&amp;IF(MROUND((Output!C25-INT(Output!C25)),1/8)=0,"",VLOOKUP(MROUND((Output!C25-INT(Output!C25)),1/8),fract[],2,FALSE))&amp;"''","")</f>
        <v>0 ''</v>
      </c>
      <c r="D26" s="15" t="str">
        <f>IFERROR(ROUND(INT(Output!D25)/12,0)&amp;"'-"&amp;INT((Output!D25/12-INT(Output!D25/12))*12)&amp;" "&amp;IF(MROUND((Output!D25/12-INT(Output!D25/12))*12-INT((Output!D25/12-INT(Output!D25/12))*12),1/8)=0,"",VLOOKUP(MROUND((Output!D25/12-INT(Output!D25/12))*12-INT((Output!D25/12-INT(Output!D25/12))*12),1/8),fract[],2,FALSE))&amp;"''","")</f>
        <v>0'-0 ''</v>
      </c>
      <c r="E26" s="15" t="str">
        <f>IFERROR(INT(Output!E25)&amp;" "&amp;IF(MROUND((Output!E25-INT(Output!E25)),1/8)=0,"",VLOOKUP(MROUND((Output!E25-INT(Output!E25)),1/8),fract[],2,FALSE))&amp;"''","")</f>
        <v>0 ''</v>
      </c>
      <c r="F26" s="14"/>
      <c r="G26" s="14"/>
      <c r="H26" s="15">
        <f t="shared" si="0"/>
        <v>0</v>
      </c>
      <c r="I26" s="15">
        <f t="shared" si="1"/>
        <v>0</v>
      </c>
      <c r="J26" s="18">
        <f>Output!F25</f>
        <v>0</v>
      </c>
      <c r="K26" s="18">
        <f>Output!G25</f>
        <v>0</v>
      </c>
    </row>
    <row r="27" spans="1:11" ht="18" customHeight="1" x14ac:dyDescent="0.25">
      <c r="A27" s="15">
        <f>Output!A26</f>
        <v>0</v>
      </c>
      <c r="B27" s="15">
        <f>Output!B26</f>
        <v>0</v>
      </c>
      <c r="C27" s="15" t="str">
        <f>IFERROR(INT(Output!C26)&amp;" "&amp;IF(MROUND((Output!C26-INT(Output!C26)),1/8)=0,"",VLOOKUP(MROUND((Output!C26-INT(Output!C26)),1/8),fract[],2,FALSE))&amp;"''","")</f>
        <v>0 ''</v>
      </c>
      <c r="D27" s="15" t="str">
        <f>IFERROR(ROUND(INT(Output!D26)/12,0)&amp;"'-"&amp;INT((Output!D26/12-INT(Output!D26/12))*12)&amp;" "&amp;IF(MROUND((Output!D26/12-INT(Output!D26/12))*12-INT((Output!D26/12-INT(Output!D26/12))*12),1/8)=0,"",VLOOKUP(MROUND((Output!D26/12-INT(Output!D26/12))*12-INT((Output!D26/12-INT(Output!D26/12))*12),1/8),fract[],2,FALSE))&amp;"''","")</f>
        <v>0'-0 ''</v>
      </c>
      <c r="E27" s="15" t="str">
        <f>IFERROR(INT(Output!E26)&amp;" "&amp;IF(MROUND((Output!E26-INT(Output!E26)),1/8)=0,"",VLOOKUP(MROUND((Output!E26-INT(Output!E26)),1/8),fract[],2,FALSE))&amp;"''","")</f>
        <v>0 ''</v>
      </c>
      <c r="F27" s="14"/>
      <c r="G27" s="14"/>
      <c r="H27" s="15">
        <f t="shared" si="0"/>
        <v>0</v>
      </c>
      <c r="I27" s="15">
        <f t="shared" si="1"/>
        <v>0</v>
      </c>
      <c r="J27" s="18">
        <f>Output!F26</f>
        <v>0</v>
      </c>
      <c r="K27" s="18">
        <f>Output!G26</f>
        <v>0</v>
      </c>
    </row>
    <row r="28" spans="1:11" ht="18" customHeight="1" x14ac:dyDescent="0.25">
      <c r="A28" s="15">
        <f>Output!A27</f>
        <v>0</v>
      </c>
      <c r="B28" s="15">
        <f>Output!B27</f>
        <v>0</v>
      </c>
      <c r="C28" s="15" t="str">
        <f>IFERROR(INT(Output!C27)&amp;" "&amp;IF(MROUND((Output!C27-INT(Output!C27)),1/8)=0,"",VLOOKUP(MROUND((Output!C27-INT(Output!C27)),1/8),fract[],2,FALSE))&amp;"''","")</f>
        <v>0 ''</v>
      </c>
      <c r="D28" s="15" t="str">
        <f>IFERROR(ROUND(INT(Output!D27)/12,0)&amp;"'-"&amp;INT((Output!D27/12-INT(Output!D27/12))*12)&amp;" "&amp;IF(MROUND((Output!D27/12-INT(Output!D27/12))*12-INT((Output!D27/12-INT(Output!D27/12))*12),1/8)=0,"",VLOOKUP(MROUND((Output!D27/12-INT(Output!D27/12))*12-INT((Output!D27/12-INT(Output!D27/12))*12),1/8),fract[],2,FALSE))&amp;"''","")</f>
        <v>0'-0 ''</v>
      </c>
      <c r="E28" s="15" t="str">
        <f>IFERROR(INT(Output!E27)&amp;" "&amp;IF(MROUND((Output!E27-INT(Output!E27)),1/8)=0,"",VLOOKUP(MROUND((Output!E27-INT(Output!E27)),1/8),fract[],2,FALSE))&amp;"''","")</f>
        <v>0 ''</v>
      </c>
      <c r="F28" s="14"/>
      <c r="G28" s="14"/>
      <c r="H28" s="15">
        <f t="shared" si="0"/>
        <v>0</v>
      </c>
      <c r="I28" s="15">
        <f t="shared" si="1"/>
        <v>0</v>
      </c>
      <c r="J28" s="18">
        <f>Output!F27</f>
        <v>0</v>
      </c>
      <c r="K28" s="18">
        <f>Output!G27</f>
        <v>0</v>
      </c>
    </row>
    <row r="29" spans="1:11" ht="18" customHeight="1" x14ac:dyDescent="0.25">
      <c r="A29" s="15">
        <f>Output!A28</f>
        <v>0</v>
      </c>
      <c r="B29" s="15">
        <f>Output!B28</f>
        <v>0</v>
      </c>
      <c r="C29" s="15" t="str">
        <f>IFERROR(INT(Output!C28)&amp;" "&amp;IF(MROUND((Output!C28-INT(Output!C28)),1/8)=0,"",VLOOKUP(MROUND((Output!C28-INT(Output!C28)),1/8),fract[],2,FALSE))&amp;"''","")</f>
        <v>0 ''</v>
      </c>
      <c r="D29" s="15" t="str">
        <f>IFERROR(ROUND(INT(Output!D28)/12,0)&amp;"'-"&amp;INT((Output!D28/12-INT(Output!D28/12))*12)&amp;" "&amp;IF(MROUND((Output!D28/12-INT(Output!D28/12))*12-INT((Output!D28/12-INT(Output!D28/12))*12),1/8)=0,"",VLOOKUP(MROUND((Output!D28/12-INT(Output!D28/12))*12-INT((Output!D28/12-INT(Output!D28/12))*12),1/8),fract[],2,FALSE))&amp;"''","")</f>
        <v>0'-0 ''</v>
      </c>
      <c r="E29" s="15" t="str">
        <f>IFERROR(INT(Output!E28)&amp;" "&amp;IF(MROUND((Output!E28-INT(Output!E28)),1/8)=0,"",VLOOKUP(MROUND((Output!E28-INT(Output!E28)),1/8),fract[],2,FALSE))&amp;"''","")</f>
        <v>0 ''</v>
      </c>
      <c r="F29" s="14"/>
      <c r="G29" s="14"/>
      <c r="H29" s="15">
        <f t="shared" si="0"/>
        <v>0</v>
      </c>
      <c r="I29" s="15">
        <f t="shared" si="1"/>
        <v>0</v>
      </c>
      <c r="J29" s="18">
        <f>Output!F28</f>
        <v>0</v>
      </c>
      <c r="K29" s="18">
        <f>Output!G28</f>
        <v>0</v>
      </c>
    </row>
    <row r="30" spans="1:11" ht="18" customHeight="1" x14ac:dyDescent="0.25">
      <c r="A30" s="15">
        <f>Output!A29</f>
        <v>0</v>
      </c>
      <c r="B30" s="15">
        <f>Output!B29</f>
        <v>0</v>
      </c>
      <c r="C30" s="15" t="str">
        <f>IFERROR(INT(Output!C29)&amp;" "&amp;IF(MROUND((Output!C29-INT(Output!C29)),1/8)=0,"",VLOOKUP(MROUND((Output!C29-INT(Output!C29)),1/8),fract[],2,FALSE))&amp;"''","")</f>
        <v>0 ''</v>
      </c>
      <c r="D30" s="15" t="str">
        <f>IFERROR(ROUND(INT(Output!D29)/12,0)&amp;"'-"&amp;INT((Output!D29/12-INT(Output!D29/12))*12)&amp;" "&amp;IF(MROUND((Output!D29/12-INT(Output!D29/12))*12-INT((Output!D29/12-INT(Output!D29/12))*12),1/8)=0,"",VLOOKUP(MROUND((Output!D29/12-INT(Output!D29/12))*12-INT((Output!D29/12-INT(Output!D29/12))*12),1/8),fract[],2,FALSE))&amp;"''","")</f>
        <v>0'-0 ''</v>
      </c>
      <c r="E30" s="15" t="str">
        <f>IFERROR(INT(Output!E29)&amp;" "&amp;IF(MROUND((Output!E29-INT(Output!E29)),1/8)=0,"",VLOOKUP(MROUND((Output!E29-INT(Output!E29)),1/8),fract[],2,FALSE))&amp;"''","")</f>
        <v>0 ''</v>
      </c>
      <c r="F30" s="14"/>
      <c r="G30" s="14"/>
      <c r="H30" s="15">
        <f t="shared" si="0"/>
        <v>0</v>
      </c>
      <c r="I30" s="15">
        <f t="shared" si="1"/>
        <v>0</v>
      </c>
      <c r="J30" s="18">
        <f>Output!F29</f>
        <v>0</v>
      </c>
      <c r="K30" s="18">
        <f>Output!G29</f>
        <v>0</v>
      </c>
    </row>
    <row r="31" spans="1:11" ht="18" customHeight="1" x14ac:dyDescent="0.25">
      <c r="A31" s="15">
        <f>Output!A30</f>
        <v>0</v>
      </c>
      <c r="B31" s="15">
        <f>Output!B30</f>
        <v>0</v>
      </c>
      <c r="C31" s="15" t="str">
        <f>IFERROR(INT(Output!C30)&amp;" "&amp;IF(MROUND((Output!C30-INT(Output!C30)),1/8)=0,"",VLOOKUP(MROUND((Output!C30-INT(Output!C30)),1/8),fract[],2,FALSE))&amp;"''","")</f>
        <v>0 ''</v>
      </c>
      <c r="D31" s="15" t="str">
        <f>IFERROR(ROUND(INT(Output!D30)/12,0)&amp;"'-"&amp;INT((Output!D30/12-INT(Output!D30/12))*12)&amp;" "&amp;IF(MROUND((Output!D30/12-INT(Output!D30/12))*12-INT((Output!D30/12-INT(Output!D30/12))*12),1/8)=0,"",VLOOKUP(MROUND((Output!D30/12-INT(Output!D30/12))*12-INT((Output!D30/12-INT(Output!D30/12))*12),1/8),fract[],2,FALSE))&amp;"''","")</f>
        <v>0'-0 ''</v>
      </c>
      <c r="E31" s="15" t="str">
        <f>IFERROR(INT(Output!E30)&amp;" "&amp;IF(MROUND((Output!E30-INT(Output!E30)),1/8)=0,"",VLOOKUP(MROUND((Output!E30-INT(Output!E30)),1/8),fract[],2,FALSE))&amp;"''","")</f>
        <v>0 ''</v>
      </c>
      <c r="F31" s="14"/>
      <c r="G31" s="14"/>
      <c r="H31" s="15">
        <f t="shared" si="0"/>
        <v>0</v>
      </c>
      <c r="I31" s="15">
        <f t="shared" si="1"/>
        <v>0</v>
      </c>
      <c r="J31" s="18">
        <f>Output!F30</f>
        <v>0</v>
      </c>
      <c r="K31" s="18">
        <f>Output!G30</f>
        <v>0</v>
      </c>
    </row>
    <row r="32" spans="1:11" ht="18" customHeight="1" x14ac:dyDescent="0.25">
      <c r="A32" s="15">
        <f>Output!A31</f>
        <v>0</v>
      </c>
      <c r="B32" s="15">
        <f>Output!B31</f>
        <v>0</v>
      </c>
      <c r="C32" s="15" t="str">
        <f>IFERROR(INT(Output!C31)&amp;" "&amp;IF(MROUND((Output!C31-INT(Output!C31)),1/8)=0,"",VLOOKUP(MROUND((Output!C31-INT(Output!C31)),1/8),fract[],2,FALSE))&amp;"''","")</f>
        <v>0 ''</v>
      </c>
      <c r="D32" s="15" t="str">
        <f>IFERROR(ROUND(INT(Output!D31)/12,0)&amp;"'-"&amp;INT((Output!D31/12-INT(Output!D31/12))*12)&amp;" "&amp;IF(MROUND((Output!D31/12-INT(Output!D31/12))*12-INT((Output!D31/12-INT(Output!D31/12))*12),1/8)=0,"",VLOOKUP(MROUND((Output!D31/12-INT(Output!D31/12))*12-INT((Output!D31/12-INT(Output!D31/12))*12),1/8),fract[],2,FALSE))&amp;"''","")</f>
        <v>0'-0 ''</v>
      </c>
      <c r="E32" s="15" t="str">
        <f>IFERROR(INT(Output!E31)&amp;" "&amp;IF(MROUND((Output!E31-INT(Output!E31)),1/8)=0,"",VLOOKUP(MROUND((Output!E31-INT(Output!E31)),1/8),fract[],2,FALSE))&amp;"''","")</f>
        <v>0 ''</v>
      </c>
      <c r="F32" s="14"/>
      <c r="G32" s="14"/>
      <c r="H32" s="15">
        <f t="shared" si="0"/>
        <v>0</v>
      </c>
      <c r="I32" s="15">
        <f t="shared" si="1"/>
        <v>0</v>
      </c>
      <c r="J32" s="18">
        <f>Output!F31</f>
        <v>0</v>
      </c>
      <c r="K32" s="18">
        <f>Output!G31</f>
        <v>0</v>
      </c>
    </row>
    <row r="33" spans="1:11" ht="18" customHeight="1" x14ac:dyDescent="0.25">
      <c r="A33" s="15">
        <f>Output!A32</f>
        <v>0</v>
      </c>
      <c r="B33" s="15">
        <f>Output!B32</f>
        <v>0</v>
      </c>
      <c r="C33" s="15" t="str">
        <f>IFERROR(INT(Output!C32)&amp;" "&amp;IF(MROUND((Output!C32-INT(Output!C32)),1/8)=0,"",VLOOKUP(MROUND((Output!C32-INT(Output!C32)),1/8),fract[],2,FALSE))&amp;"''","")</f>
        <v>0 ''</v>
      </c>
      <c r="D33" s="15" t="str">
        <f>IFERROR(ROUND(INT(Output!D32)/12,0)&amp;"'-"&amp;INT((Output!D32/12-INT(Output!D32/12))*12)&amp;" "&amp;IF(MROUND((Output!D32/12-INT(Output!D32/12))*12-INT((Output!D32/12-INT(Output!D32/12))*12),1/8)=0,"",VLOOKUP(MROUND((Output!D32/12-INT(Output!D32/12))*12-INT((Output!D32/12-INT(Output!D32/12))*12),1/8),fract[],2,FALSE))&amp;"''","")</f>
        <v>0'-0 ''</v>
      </c>
      <c r="E33" s="15" t="str">
        <f>IFERROR(INT(Output!E32)&amp;" "&amp;IF(MROUND((Output!E32-INT(Output!E32)),1/8)=0,"",VLOOKUP(MROUND((Output!E32-INT(Output!E32)),1/8),fract[],2,FALSE))&amp;"''","")</f>
        <v>0 ''</v>
      </c>
      <c r="F33" s="14"/>
      <c r="G33" s="14"/>
      <c r="H33" s="15">
        <f t="shared" si="0"/>
        <v>0</v>
      </c>
      <c r="I33" s="15">
        <f t="shared" si="1"/>
        <v>0</v>
      </c>
      <c r="J33" s="18">
        <f>Output!F32</f>
        <v>0</v>
      </c>
      <c r="K33" s="18">
        <f>Output!G32</f>
        <v>0</v>
      </c>
    </row>
    <row r="34" spans="1:11" ht="18" customHeight="1" x14ac:dyDescent="0.25">
      <c r="A34" s="15">
        <f>Output!A33</f>
        <v>0</v>
      </c>
      <c r="B34" s="15">
        <f>Output!B33</f>
        <v>0</v>
      </c>
      <c r="C34" s="15" t="str">
        <f>IFERROR(INT(Output!C33)&amp;" "&amp;IF(MROUND((Output!C33-INT(Output!C33)),1/8)=0,"",VLOOKUP(MROUND((Output!C33-INT(Output!C33)),1/8),fract[],2,FALSE))&amp;"''","")</f>
        <v>0 ''</v>
      </c>
      <c r="D34" s="15" t="str">
        <f>IFERROR(ROUND(INT(Output!D33)/12,0)&amp;"'-"&amp;INT((Output!D33/12-INT(Output!D33/12))*12)&amp;" "&amp;IF(MROUND((Output!D33/12-INT(Output!D33/12))*12-INT((Output!D33/12-INT(Output!D33/12))*12),1/8)=0,"",VLOOKUP(MROUND((Output!D33/12-INT(Output!D33/12))*12-INT((Output!D33/12-INT(Output!D33/12))*12),1/8),fract[],2,FALSE))&amp;"''","")</f>
        <v>0'-0 ''</v>
      </c>
      <c r="E34" s="15" t="str">
        <f>IFERROR(INT(Output!E33)&amp;" "&amp;IF(MROUND((Output!E33-INT(Output!E33)),1/8)=0,"",VLOOKUP(MROUND((Output!E33-INT(Output!E33)),1/8),fract[],2,FALSE))&amp;"''","")</f>
        <v>0 ''</v>
      </c>
      <c r="F34" s="14"/>
      <c r="G34" s="14"/>
      <c r="H34" s="15">
        <f t="shared" si="0"/>
        <v>0</v>
      </c>
      <c r="I34" s="15">
        <f t="shared" si="1"/>
        <v>0</v>
      </c>
      <c r="J34" s="18">
        <f>Output!F33</f>
        <v>0</v>
      </c>
      <c r="K34" s="18">
        <f>Output!G33</f>
        <v>0</v>
      </c>
    </row>
    <row r="35" spans="1:11" ht="18" customHeight="1" x14ac:dyDescent="0.25">
      <c r="A35" s="15">
        <f>Output!A34</f>
        <v>0</v>
      </c>
      <c r="B35" s="15">
        <f>Output!B34</f>
        <v>0</v>
      </c>
      <c r="C35" s="15" t="str">
        <f>IFERROR(INT(Output!C34)&amp;" "&amp;IF(MROUND((Output!C34-INT(Output!C34)),1/8)=0,"",VLOOKUP(MROUND((Output!C34-INT(Output!C34)),1/8),fract[],2,FALSE))&amp;"''","")</f>
        <v>0 ''</v>
      </c>
      <c r="D35" s="15" t="str">
        <f>IFERROR(ROUND(INT(Output!D34)/12,0)&amp;"'-"&amp;INT((Output!D34/12-INT(Output!D34/12))*12)&amp;" "&amp;IF(MROUND((Output!D34/12-INT(Output!D34/12))*12-INT((Output!D34/12-INT(Output!D34/12))*12),1/8)=0,"",VLOOKUP(MROUND((Output!D34/12-INT(Output!D34/12))*12-INT((Output!D34/12-INT(Output!D34/12))*12),1/8),fract[],2,FALSE))&amp;"''","")</f>
        <v>0'-0 ''</v>
      </c>
      <c r="E35" s="15" t="str">
        <f>IFERROR(INT(Output!E34)&amp;" "&amp;IF(MROUND((Output!E34-INT(Output!E34)),1/8)=0,"",VLOOKUP(MROUND((Output!E34-INT(Output!E34)),1/8),fract[],2,FALSE))&amp;"''","")</f>
        <v>0 ''</v>
      </c>
      <c r="F35" s="14"/>
      <c r="G35" s="14"/>
      <c r="H35" s="15">
        <f t="shared" si="0"/>
        <v>0</v>
      </c>
      <c r="I35" s="15">
        <f t="shared" si="1"/>
        <v>0</v>
      </c>
      <c r="J35" s="18">
        <f>Output!F34</f>
        <v>0</v>
      </c>
      <c r="K35" s="18">
        <f>Output!G34</f>
        <v>0</v>
      </c>
    </row>
    <row r="36" spans="1:11" ht="18" customHeight="1" x14ac:dyDescent="0.25">
      <c r="A36" s="15">
        <f>Output!A35</f>
        <v>0</v>
      </c>
      <c r="B36" s="15">
        <f>Output!B35</f>
        <v>0</v>
      </c>
      <c r="C36" s="15" t="str">
        <f>IFERROR(INT(Output!C35)&amp;" "&amp;IF(MROUND((Output!C35-INT(Output!C35)),1/8)=0,"",VLOOKUP(MROUND((Output!C35-INT(Output!C35)),1/8),fract[],2,FALSE))&amp;"''","")</f>
        <v>0 ''</v>
      </c>
      <c r="D36" s="15" t="str">
        <f>IFERROR(ROUND(INT(Output!D35)/12,0)&amp;"'-"&amp;INT((Output!D35/12-INT(Output!D35/12))*12)&amp;" "&amp;IF(MROUND((Output!D35/12-INT(Output!D35/12))*12-INT((Output!D35/12-INT(Output!D35/12))*12),1/8)=0,"",VLOOKUP(MROUND((Output!D35/12-INT(Output!D35/12))*12-INT((Output!D35/12-INT(Output!D35/12))*12),1/8),fract[],2,FALSE))&amp;"''","")</f>
        <v>0'-0 ''</v>
      </c>
      <c r="E36" s="15" t="str">
        <f>IFERROR(INT(Output!E35)&amp;" "&amp;IF(MROUND((Output!E35-INT(Output!E35)),1/8)=0,"",VLOOKUP(MROUND((Output!E35-INT(Output!E35)),1/8),fract[],2,FALSE))&amp;"''","")</f>
        <v>0 ''</v>
      </c>
      <c r="F36" s="14"/>
      <c r="G36" s="14"/>
      <c r="H36" s="15">
        <f t="shared" si="0"/>
        <v>0</v>
      </c>
      <c r="I36" s="15">
        <f t="shared" si="1"/>
        <v>0</v>
      </c>
      <c r="J36" s="18">
        <f>Output!F35</f>
        <v>0</v>
      </c>
      <c r="K36" s="18">
        <f>Output!G35</f>
        <v>0</v>
      </c>
    </row>
    <row r="37" spans="1:11" ht="18" customHeight="1" x14ac:dyDescent="0.25">
      <c r="A37" s="15">
        <f>Output!A36</f>
        <v>0</v>
      </c>
      <c r="B37" s="15">
        <f>Output!B36</f>
        <v>0</v>
      </c>
      <c r="C37" s="15" t="str">
        <f>IFERROR(INT(Output!C36)&amp;" "&amp;IF(MROUND((Output!C36-INT(Output!C36)),1/8)=0,"",VLOOKUP(MROUND((Output!C36-INT(Output!C36)),1/8),fract[],2,FALSE))&amp;"''","")</f>
        <v>0 ''</v>
      </c>
      <c r="D37" s="15" t="str">
        <f>IFERROR(ROUND(INT(Output!D36)/12,0)&amp;"'-"&amp;INT((Output!D36/12-INT(Output!D36/12))*12)&amp;" "&amp;IF(MROUND((Output!D36/12-INT(Output!D36/12))*12-INT((Output!D36/12-INT(Output!D36/12))*12),1/8)=0,"",VLOOKUP(MROUND((Output!D36/12-INT(Output!D36/12))*12-INT((Output!D36/12-INT(Output!D36/12))*12),1/8),fract[],2,FALSE))&amp;"''","")</f>
        <v>0'-0 ''</v>
      </c>
      <c r="E37" s="15" t="str">
        <f>IFERROR(INT(Output!E36)&amp;" "&amp;IF(MROUND((Output!E36-INT(Output!E36)),1/8)=0,"",VLOOKUP(MROUND((Output!E36-INT(Output!E36)),1/8),fract[],2,FALSE))&amp;"''","")</f>
        <v>0 ''</v>
      </c>
      <c r="F37" s="14"/>
      <c r="G37" s="14"/>
      <c r="H37" s="15">
        <f t="shared" si="0"/>
        <v>0</v>
      </c>
      <c r="I37" s="15">
        <f t="shared" si="1"/>
        <v>0</v>
      </c>
      <c r="J37" s="18">
        <f>Output!F36</f>
        <v>0</v>
      </c>
      <c r="K37" s="18">
        <f>Output!G36</f>
        <v>0</v>
      </c>
    </row>
    <row r="38" spans="1:11" ht="18" customHeight="1" x14ac:dyDescent="0.25">
      <c r="A38" s="15">
        <f>Output!A37</f>
        <v>0</v>
      </c>
      <c r="B38" s="15">
        <f>Output!B37</f>
        <v>0</v>
      </c>
      <c r="C38" s="15" t="str">
        <f>IFERROR(INT(Output!C37)&amp;" "&amp;IF(MROUND((Output!C37-INT(Output!C37)),1/8)=0,"",VLOOKUP(MROUND((Output!C37-INT(Output!C37)),1/8),fract[],2,FALSE))&amp;"''","")</f>
        <v>0 ''</v>
      </c>
      <c r="D38" s="15" t="str">
        <f>IFERROR(ROUND(INT(Output!D37)/12,0)&amp;"'-"&amp;INT((Output!D37/12-INT(Output!D37/12))*12)&amp;" "&amp;IF(MROUND((Output!D37/12-INT(Output!D37/12))*12-INT((Output!D37/12-INT(Output!D37/12))*12),1/8)=0,"",VLOOKUP(MROUND((Output!D37/12-INT(Output!D37/12))*12-INT((Output!D37/12-INT(Output!D37/12))*12),1/8),fract[],2,FALSE))&amp;"''","")</f>
        <v>0'-0 ''</v>
      </c>
      <c r="E38" s="15" t="str">
        <f>IFERROR(INT(Output!E37)&amp;" "&amp;IF(MROUND((Output!E37-INT(Output!E37)),1/8)=0,"",VLOOKUP(MROUND((Output!E37-INT(Output!E37)),1/8),fract[],2,FALSE))&amp;"''","")</f>
        <v>0 ''</v>
      </c>
      <c r="F38" s="14"/>
      <c r="G38" s="14"/>
      <c r="H38" s="15">
        <f t="shared" si="0"/>
        <v>0</v>
      </c>
      <c r="I38" s="15">
        <f t="shared" si="1"/>
        <v>0</v>
      </c>
      <c r="J38" s="18">
        <f>Output!F37</f>
        <v>0</v>
      </c>
      <c r="K38" s="18">
        <f>Output!G37</f>
        <v>0</v>
      </c>
    </row>
    <row r="39" spans="1:11" ht="18" customHeight="1" x14ac:dyDescent="0.25">
      <c r="A39" s="15">
        <f>Output!A38</f>
        <v>0</v>
      </c>
      <c r="B39" s="15">
        <f>Output!B38</f>
        <v>0</v>
      </c>
      <c r="C39" s="15" t="str">
        <f>IFERROR(INT(Output!C38)&amp;" "&amp;IF(MROUND((Output!C38-INT(Output!C38)),1/8)=0,"",VLOOKUP(MROUND((Output!C38-INT(Output!C38)),1/8),fract[],2,FALSE))&amp;"''","")</f>
        <v>0 ''</v>
      </c>
      <c r="D39" s="15" t="str">
        <f>IFERROR(ROUND(INT(Output!D38)/12,0)&amp;"'-"&amp;INT((Output!D38/12-INT(Output!D38/12))*12)&amp;" "&amp;IF(MROUND((Output!D38/12-INT(Output!D38/12))*12-INT((Output!D38/12-INT(Output!D38/12))*12),1/8)=0,"",VLOOKUP(MROUND((Output!D38/12-INT(Output!D38/12))*12-INT((Output!D38/12-INT(Output!D38/12))*12),1/8),fract[],2,FALSE))&amp;"''","")</f>
        <v>0'-0 ''</v>
      </c>
      <c r="E39" s="15" t="str">
        <f>IFERROR(INT(Output!E38)&amp;" "&amp;IF(MROUND((Output!E38-INT(Output!E38)),1/8)=0,"",VLOOKUP(MROUND((Output!E38-INT(Output!E38)),1/8),fract[],2,FALSE))&amp;"''","")</f>
        <v>0 ''</v>
      </c>
      <c r="F39" s="14"/>
      <c r="G39" s="14"/>
      <c r="H39" s="15">
        <f t="shared" si="0"/>
        <v>0</v>
      </c>
      <c r="I39" s="15">
        <f t="shared" si="1"/>
        <v>0</v>
      </c>
      <c r="J39" s="18">
        <f>Output!F38</f>
        <v>0</v>
      </c>
      <c r="K39" s="18">
        <f>Output!G38</f>
        <v>0</v>
      </c>
    </row>
    <row r="40" spans="1:11" ht="18" customHeight="1" x14ac:dyDescent="0.25">
      <c r="A40" s="15">
        <f>Output!A39</f>
        <v>0</v>
      </c>
      <c r="B40" s="15">
        <f>Output!B39</f>
        <v>0</v>
      </c>
      <c r="C40" s="15" t="str">
        <f>IFERROR(INT(Output!C39)&amp;" "&amp;IF(MROUND((Output!C39-INT(Output!C39)),1/8)=0,"",VLOOKUP(MROUND((Output!C39-INT(Output!C39)),1/8),fract[],2,FALSE))&amp;"''","")</f>
        <v>0 ''</v>
      </c>
      <c r="D40" s="15" t="str">
        <f>IFERROR(ROUND(INT(Output!D39)/12,0)&amp;"'-"&amp;INT((Output!D39/12-INT(Output!D39/12))*12)&amp;" "&amp;IF(MROUND((Output!D39/12-INT(Output!D39/12))*12-INT((Output!D39/12-INT(Output!D39/12))*12),1/8)=0,"",VLOOKUP(MROUND((Output!D39/12-INT(Output!D39/12))*12-INT((Output!D39/12-INT(Output!D39/12))*12),1/8),fract[],2,FALSE))&amp;"''","")</f>
        <v>0'-0 ''</v>
      </c>
      <c r="E40" s="15" t="str">
        <f>IFERROR(INT(Output!E39)&amp;" "&amp;IF(MROUND((Output!E39-INT(Output!E39)),1/8)=0,"",VLOOKUP(MROUND((Output!E39-INT(Output!E39)),1/8),fract[],2,FALSE))&amp;"''","")</f>
        <v>0 ''</v>
      </c>
      <c r="F40" s="14"/>
      <c r="G40" s="14"/>
      <c r="H40" s="15">
        <f t="shared" si="0"/>
        <v>0</v>
      </c>
      <c r="I40" s="15">
        <f t="shared" si="1"/>
        <v>0</v>
      </c>
      <c r="J40" s="18">
        <f>Output!F39</f>
        <v>0</v>
      </c>
      <c r="K40" s="18">
        <f>Output!G39</f>
        <v>0</v>
      </c>
    </row>
    <row r="41" spans="1:11" ht="18" customHeight="1" x14ac:dyDescent="0.25">
      <c r="A41" s="15">
        <f>Output!A40</f>
        <v>0</v>
      </c>
      <c r="B41" s="15">
        <f>Output!B40</f>
        <v>0</v>
      </c>
      <c r="C41" s="15" t="str">
        <f>IFERROR(INT(Output!C40)&amp;" "&amp;IF(MROUND((Output!C40-INT(Output!C40)),1/8)=0,"",VLOOKUP(MROUND((Output!C40-INT(Output!C40)),1/8),fract[],2,FALSE))&amp;"''","")</f>
        <v>0 ''</v>
      </c>
      <c r="D41" s="15" t="str">
        <f>IFERROR(ROUND(INT(Output!D40)/12,0)&amp;"'-"&amp;INT((Output!D40/12-INT(Output!D40/12))*12)&amp;" "&amp;IF(MROUND((Output!D40/12-INT(Output!D40/12))*12-INT((Output!D40/12-INT(Output!D40/12))*12),1/8)=0,"",VLOOKUP(MROUND((Output!D40/12-INT(Output!D40/12))*12-INT((Output!D40/12-INT(Output!D40/12))*12),1/8),fract[],2,FALSE))&amp;"''","")</f>
        <v>0'-0 ''</v>
      </c>
      <c r="E41" s="15" t="str">
        <f>IFERROR(INT(Output!E40)&amp;" "&amp;IF(MROUND((Output!E40-INT(Output!E40)),1/8)=0,"",VLOOKUP(MROUND((Output!E40-INT(Output!E40)),1/8),fract[],2,FALSE))&amp;"''","")</f>
        <v>0 ''</v>
      </c>
      <c r="F41" s="14"/>
      <c r="G41" s="14"/>
      <c r="H41" s="15">
        <f t="shared" si="0"/>
        <v>0</v>
      </c>
      <c r="I41" s="15">
        <f t="shared" si="1"/>
        <v>0</v>
      </c>
      <c r="J41" s="18">
        <f>Output!F40</f>
        <v>0</v>
      </c>
      <c r="K41" s="18">
        <f>Output!G40</f>
        <v>0</v>
      </c>
    </row>
    <row r="42" spans="1:11" ht="18" customHeight="1" x14ac:dyDescent="0.25">
      <c r="A42" s="15">
        <f>Output!A41</f>
        <v>0</v>
      </c>
      <c r="B42" s="15">
        <f>Output!B41</f>
        <v>0</v>
      </c>
      <c r="C42" s="15" t="str">
        <f>IFERROR(INT(Output!C41)&amp;" "&amp;IF(MROUND((Output!C41-INT(Output!C41)),1/8)=0,"",VLOOKUP(MROUND((Output!C41-INT(Output!C41)),1/8),fract[],2,FALSE))&amp;"''","")</f>
        <v>0 ''</v>
      </c>
      <c r="D42" s="15" t="str">
        <f>IFERROR(ROUND(INT(Output!D41)/12,0)&amp;"'-"&amp;INT((Output!D41/12-INT(Output!D41/12))*12)&amp;" "&amp;IF(MROUND((Output!D41/12-INT(Output!D41/12))*12-INT((Output!D41/12-INT(Output!D41/12))*12),1/8)=0,"",VLOOKUP(MROUND((Output!D41/12-INT(Output!D41/12))*12-INT((Output!D41/12-INT(Output!D41/12))*12),1/8),fract[],2,FALSE))&amp;"''","")</f>
        <v>0'-0 ''</v>
      </c>
      <c r="E42" s="15" t="str">
        <f>IFERROR(INT(Output!E41)&amp;" "&amp;IF(MROUND((Output!E41-INT(Output!E41)),1/8)=0,"",VLOOKUP(MROUND((Output!E41-INT(Output!E41)),1/8),fract[],2,FALSE))&amp;"''","")</f>
        <v>0 ''</v>
      </c>
      <c r="F42" s="14"/>
      <c r="G42" s="14"/>
      <c r="H42" s="15">
        <f t="shared" si="0"/>
        <v>0</v>
      </c>
      <c r="I42" s="15">
        <f t="shared" si="1"/>
        <v>0</v>
      </c>
      <c r="J42" s="18">
        <f>Output!F41</f>
        <v>0</v>
      </c>
      <c r="K42" s="18">
        <f>Output!G41</f>
        <v>0</v>
      </c>
    </row>
    <row r="43" spans="1:11" ht="18" customHeight="1" x14ac:dyDescent="0.25">
      <c r="A43" s="15">
        <f>Output!A42</f>
        <v>0</v>
      </c>
      <c r="B43" s="15">
        <f>Output!B42</f>
        <v>0</v>
      </c>
      <c r="C43" s="15" t="str">
        <f>IFERROR(INT(Output!C42)&amp;" "&amp;IF(MROUND((Output!C42-INT(Output!C42)),1/8)=0,"",VLOOKUP(MROUND((Output!C42-INT(Output!C42)),1/8),fract[],2,FALSE))&amp;"''","")</f>
        <v>0 ''</v>
      </c>
      <c r="D43" s="15" t="str">
        <f>IFERROR(ROUND(INT(Output!D42)/12,0)&amp;"'-"&amp;INT((Output!D42/12-INT(Output!D42/12))*12)&amp;" "&amp;IF(MROUND((Output!D42/12-INT(Output!D42/12))*12-INT((Output!D42/12-INT(Output!D42/12))*12),1/8)=0,"",VLOOKUP(MROUND((Output!D42/12-INT(Output!D42/12))*12-INT((Output!D42/12-INT(Output!D42/12))*12),1/8),fract[],2,FALSE))&amp;"''","")</f>
        <v>0'-0 ''</v>
      </c>
      <c r="E43" s="15" t="str">
        <f>IFERROR(INT(Output!E42)&amp;" "&amp;IF(MROUND((Output!E42-INT(Output!E42)),1/8)=0,"",VLOOKUP(MROUND((Output!E42-INT(Output!E42)),1/8),fract[],2,FALSE))&amp;"''","")</f>
        <v>0 ''</v>
      </c>
      <c r="F43" s="14"/>
      <c r="G43" s="14"/>
      <c r="H43" s="15">
        <f t="shared" si="0"/>
        <v>0</v>
      </c>
      <c r="I43" s="15">
        <f t="shared" si="1"/>
        <v>0</v>
      </c>
      <c r="J43" s="18">
        <f>Output!F42</f>
        <v>0</v>
      </c>
      <c r="K43" s="18">
        <f>Output!G42</f>
        <v>0</v>
      </c>
    </row>
    <row r="44" spans="1:11" ht="18" customHeight="1" x14ac:dyDescent="0.25">
      <c r="A44" s="15">
        <f>Output!A43</f>
        <v>0</v>
      </c>
      <c r="B44" s="15">
        <f>Output!B43</f>
        <v>0</v>
      </c>
      <c r="C44" s="15" t="str">
        <f>IFERROR(INT(Output!C43)&amp;" "&amp;IF(MROUND((Output!C43-INT(Output!C43)),1/8)=0,"",VLOOKUP(MROUND((Output!C43-INT(Output!C43)),1/8),fract[],2,FALSE))&amp;"''","")</f>
        <v>0 ''</v>
      </c>
      <c r="D44" s="15" t="str">
        <f>IFERROR(ROUND(INT(Output!D43)/12,0)&amp;"'-"&amp;INT((Output!D43/12-INT(Output!D43/12))*12)&amp;" "&amp;IF(MROUND((Output!D43/12-INT(Output!D43/12))*12-INT((Output!D43/12-INT(Output!D43/12))*12),1/8)=0,"",VLOOKUP(MROUND((Output!D43/12-INT(Output!D43/12))*12-INT((Output!D43/12-INT(Output!D43/12))*12),1/8),fract[],2,FALSE))&amp;"''","")</f>
        <v>0'-0 ''</v>
      </c>
      <c r="E44" s="15" t="str">
        <f>IFERROR(INT(Output!E43)&amp;" "&amp;IF(MROUND((Output!E43-INT(Output!E43)),1/8)=0,"",VLOOKUP(MROUND((Output!E43-INT(Output!E43)),1/8),fract[],2,FALSE))&amp;"''","")</f>
        <v>0 ''</v>
      </c>
      <c r="F44" s="14"/>
      <c r="G44" s="14"/>
      <c r="H44" s="15">
        <f t="shared" si="0"/>
        <v>0</v>
      </c>
      <c r="I44" s="15">
        <f t="shared" si="1"/>
        <v>0</v>
      </c>
      <c r="J44" s="18">
        <f>Output!F43</f>
        <v>0</v>
      </c>
      <c r="K44" s="18">
        <f>Output!G43</f>
        <v>0</v>
      </c>
    </row>
    <row r="45" spans="1:11" ht="18" customHeight="1" x14ac:dyDescent="0.25">
      <c r="A45" s="15">
        <f>Output!A44</f>
        <v>0</v>
      </c>
      <c r="B45" s="15">
        <f>Output!B44</f>
        <v>0</v>
      </c>
      <c r="C45" s="15" t="str">
        <f>IFERROR(INT(Output!C44)&amp;" "&amp;IF(MROUND((Output!C44-INT(Output!C44)),1/8)=0,"",VLOOKUP(MROUND((Output!C44-INT(Output!C44)),1/8),fract[],2,FALSE))&amp;"''","")</f>
        <v>0 ''</v>
      </c>
      <c r="D45" s="15" t="str">
        <f>IFERROR(ROUND(INT(Output!D44)/12,0)&amp;"'-"&amp;INT((Output!D44/12-INT(Output!D44/12))*12)&amp;" "&amp;IF(MROUND((Output!D44/12-INT(Output!D44/12))*12-INT((Output!D44/12-INT(Output!D44/12))*12),1/8)=0,"",VLOOKUP(MROUND((Output!D44/12-INT(Output!D44/12))*12-INT((Output!D44/12-INT(Output!D44/12))*12),1/8),fract[],2,FALSE))&amp;"''","")</f>
        <v>0'-0 ''</v>
      </c>
      <c r="E45" s="15" t="str">
        <f>IFERROR(INT(Output!E44)&amp;" "&amp;IF(MROUND((Output!E44-INT(Output!E44)),1/8)=0,"",VLOOKUP(MROUND((Output!E44-INT(Output!E44)),1/8),fract[],2,FALSE))&amp;"''","")</f>
        <v>0 ''</v>
      </c>
      <c r="F45" s="14"/>
      <c r="G45" s="14"/>
      <c r="H45" s="15">
        <f t="shared" si="0"/>
        <v>0</v>
      </c>
      <c r="I45" s="15">
        <f t="shared" si="1"/>
        <v>0</v>
      </c>
      <c r="J45" s="18">
        <f>Output!F44</f>
        <v>0</v>
      </c>
      <c r="K45" s="18">
        <f>Output!G44</f>
        <v>0</v>
      </c>
    </row>
    <row r="46" spans="1:11" ht="18" customHeight="1" x14ac:dyDescent="0.25">
      <c r="A46" s="15">
        <f>Output!A45</f>
        <v>0</v>
      </c>
      <c r="B46" s="15">
        <f>Output!B45</f>
        <v>0</v>
      </c>
      <c r="C46" s="15" t="str">
        <f>IFERROR(INT(Output!C45)&amp;" "&amp;IF(MROUND((Output!C45-INT(Output!C45)),1/8)=0,"",VLOOKUP(MROUND((Output!C45-INT(Output!C45)),1/8),fract[],2,FALSE))&amp;"''","")</f>
        <v>0 ''</v>
      </c>
      <c r="D46" s="15" t="str">
        <f>IFERROR(ROUND(INT(Output!D45)/12,0)&amp;"'-"&amp;INT((Output!D45/12-INT(Output!D45/12))*12)&amp;" "&amp;IF(MROUND((Output!D45/12-INT(Output!D45/12))*12-INT((Output!D45/12-INT(Output!D45/12))*12),1/8)=0,"",VLOOKUP(MROUND((Output!D45/12-INT(Output!D45/12))*12-INT((Output!D45/12-INT(Output!D45/12))*12),1/8),fract[],2,FALSE))&amp;"''","")</f>
        <v>0'-0 ''</v>
      </c>
      <c r="E46" s="15" t="str">
        <f>IFERROR(INT(Output!E45)&amp;" "&amp;IF(MROUND((Output!E45-INT(Output!E45)),1/8)=0,"",VLOOKUP(MROUND((Output!E45-INT(Output!E45)),1/8),fract[],2,FALSE))&amp;"''","")</f>
        <v>0 ''</v>
      </c>
      <c r="F46" s="14"/>
      <c r="G46" s="14"/>
      <c r="H46" s="15">
        <f t="shared" si="0"/>
        <v>0</v>
      </c>
      <c r="I46" s="15">
        <f t="shared" si="1"/>
        <v>0</v>
      </c>
      <c r="J46" s="18">
        <f>Output!F45</f>
        <v>0</v>
      </c>
      <c r="K46" s="18">
        <f>Output!G45</f>
        <v>0</v>
      </c>
    </row>
    <row r="47" spans="1:11" ht="18" customHeight="1" x14ac:dyDescent="0.25">
      <c r="A47" s="15">
        <f>Output!A46</f>
        <v>0</v>
      </c>
      <c r="B47" s="15">
        <f>Output!B46</f>
        <v>0</v>
      </c>
      <c r="C47" s="15" t="str">
        <f>IFERROR(INT(Output!C46)&amp;" "&amp;IF(MROUND((Output!C46-INT(Output!C46)),1/8)=0,"",VLOOKUP(MROUND((Output!C46-INT(Output!C46)),1/8),fract[],2,FALSE))&amp;"''","")</f>
        <v>0 ''</v>
      </c>
      <c r="D47" s="15" t="str">
        <f>IFERROR(ROUND(INT(Output!D46)/12,0)&amp;"'-"&amp;INT((Output!D46/12-INT(Output!D46/12))*12)&amp;" "&amp;IF(MROUND((Output!D46/12-INT(Output!D46/12))*12-INT((Output!D46/12-INT(Output!D46/12))*12),1/8)=0,"",VLOOKUP(MROUND((Output!D46/12-INT(Output!D46/12))*12-INT((Output!D46/12-INT(Output!D46/12))*12),1/8),fract[],2,FALSE))&amp;"''","")</f>
        <v>0'-0 ''</v>
      </c>
      <c r="E47" s="15" t="str">
        <f>IFERROR(INT(Output!E46)&amp;" "&amp;IF(MROUND((Output!E46-INT(Output!E46)),1/8)=0,"",VLOOKUP(MROUND((Output!E46-INT(Output!E46)),1/8),fract[],2,FALSE))&amp;"''","")</f>
        <v>0 ''</v>
      </c>
      <c r="F47" s="14"/>
      <c r="G47" s="14"/>
      <c r="H47" s="15">
        <f t="shared" si="0"/>
        <v>0</v>
      </c>
      <c r="I47" s="15">
        <f t="shared" si="1"/>
        <v>0</v>
      </c>
      <c r="J47" s="18">
        <f>Output!F46</f>
        <v>0</v>
      </c>
      <c r="K47" s="18">
        <f>Output!G46</f>
        <v>0</v>
      </c>
    </row>
    <row r="48" spans="1:11" ht="18" customHeight="1" x14ac:dyDescent="0.25">
      <c r="A48" s="15">
        <f>Output!A47</f>
        <v>0</v>
      </c>
      <c r="B48" s="15">
        <f>Output!B47</f>
        <v>0</v>
      </c>
      <c r="C48" s="15" t="str">
        <f>IFERROR(INT(Output!C47)&amp;" "&amp;IF(MROUND((Output!C47-INT(Output!C47)),1/8)=0,"",VLOOKUP(MROUND((Output!C47-INT(Output!C47)),1/8),fract[],2,FALSE))&amp;"''","")</f>
        <v>0 ''</v>
      </c>
      <c r="D48" s="15" t="str">
        <f>IFERROR(ROUND(INT(Output!D47)/12,0)&amp;"'-"&amp;INT((Output!D47/12-INT(Output!D47/12))*12)&amp;" "&amp;IF(MROUND((Output!D47/12-INT(Output!D47/12))*12-INT((Output!D47/12-INT(Output!D47/12))*12),1/8)=0,"",VLOOKUP(MROUND((Output!D47/12-INT(Output!D47/12))*12-INT((Output!D47/12-INT(Output!D47/12))*12),1/8),fract[],2,FALSE))&amp;"''","")</f>
        <v>0'-0 ''</v>
      </c>
      <c r="E48" s="15" t="str">
        <f>IFERROR(INT(Output!E47)&amp;" "&amp;IF(MROUND((Output!E47-INT(Output!E47)),1/8)=0,"",VLOOKUP(MROUND((Output!E47-INT(Output!E47)),1/8),fract[],2,FALSE))&amp;"''","")</f>
        <v>0 ''</v>
      </c>
      <c r="F48" s="14"/>
      <c r="G48" s="14"/>
      <c r="H48" s="15">
        <f t="shared" si="0"/>
        <v>0</v>
      </c>
      <c r="I48" s="15">
        <f t="shared" si="1"/>
        <v>0</v>
      </c>
      <c r="J48" s="18">
        <f>Output!F47</f>
        <v>0</v>
      </c>
      <c r="K48" s="18">
        <f>Output!G47</f>
        <v>0</v>
      </c>
    </row>
    <row r="49" spans="1:11" ht="18" customHeight="1" x14ac:dyDescent="0.25">
      <c r="A49" s="15">
        <f>Output!A48</f>
        <v>0</v>
      </c>
      <c r="B49" s="15">
        <f>Output!B48</f>
        <v>0</v>
      </c>
      <c r="C49" s="15" t="str">
        <f>IFERROR(INT(Output!C48)&amp;" "&amp;IF(MROUND((Output!C48-INT(Output!C48)),1/8)=0,"",VLOOKUP(MROUND((Output!C48-INT(Output!C48)),1/8),fract[],2,FALSE))&amp;"''","")</f>
        <v>0 ''</v>
      </c>
      <c r="D49" s="15" t="str">
        <f>IFERROR(ROUND(INT(Output!D48)/12,0)&amp;"'-"&amp;INT((Output!D48/12-INT(Output!D48/12))*12)&amp;" "&amp;IF(MROUND((Output!D48/12-INT(Output!D48/12))*12-INT((Output!D48/12-INT(Output!D48/12))*12),1/8)=0,"",VLOOKUP(MROUND((Output!D48/12-INT(Output!D48/12))*12-INT((Output!D48/12-INT(Output!D48/12))*12),1/8),fract[],2,FALSE))&amp;"''","")</f>
        <v>0'-0 ''</v>
      </c>
      <c r="E49" s="15" t="str">
        <f>IFERROR(INT(Output!E48)&amp;" "&amp;IF(MROUND((Output!E48-INT(Output!E48)),1/8)=0,"",VLOOKUP(MROUND((Output!E48-INT(Output!E48)),1/8),fract[],2,FALSE))&amp;"''","")</f>
        <v>0 ''</v>
      </c>
      <c r="F49" s="14"/>
      <c r="G49" s="14"/>
      <c r="H49" s="15">
        <f t="shared" si="0"/>
        <v>0</v>
      </c>
      <c r="I49" s="15">
        <f t="shared" si="1"/>
        <v>0</v>
      </c>
      <c r="J49" s="18">
        <f>Output!F48</f>
        <v>0</v>
      </c>
      <c r="K49" s="18">
        <f>Output!G48</f>
        <v>0</v>
      </c>
    </row>
    <row r="50" spans="1:11" ht="18" customHeight="1" x14ac:dyDescent="0.25">
      <c r="A50" s="15">
        <f>Output!A49</f>
        <v>0</v>
      </c>
      <c r="B50" s="15">
        <f>Output!B49</f>
        <v>0</v>
      </c>
      <c r="C50" s="15" t="str">
        <f>IFERROR(INT(Output!C49)&amp;" "&amp;IF(MROUND((Output!C49-INT(Output!C49)),1/8)=0,"",VLOOKUP(MROUND((Output!C49-INT(Output!C49)),1/8),fract[],2,FALSE))&amp;"''","")</f>
        <v>0 ''</v>
      </c>
      <c r="D50" s="15" t="str">
        <f>IFERROR(ROUND(INT(Output!D49)/12,0)&amp;"'-"&amp;INT((Output!D49/12-INT(Output!D49/12))*12)&amp;" "&amp;IF(MROUND((Output!D49/12-INT(Output!D49/12))*12-INT((Output!D49/12-INT(Output!D49/12))*12),1/8)=0,"",VLOOKUP(MROUND((Output!D49/12-INT(Output!D49/12))*12-INT((Output!D49/12-INT(Output!D49/12))*12),1/8),fract[],2,FALSE))&amp;"''","")</f>
        <v>0'-0 ''</v>
      </c>
      <c r="E50" s="15" t="str">
        <f>IFERROR(INT(Output!E49)&amp;" "&amp;IF(MROUND((Output!E49-INT(Output!E49)),1/8)=0,"",VLOOKUP(MROUND((Output!E49-INT(Output!E49)),1/8),fract[],2,FALSE))&amp;"''","")</f>
        <v>0 ''</v>
      </c>
      <c r="F50" s="14"/>
      <c r="G50" s="14"/>
      <c r="H50" s="15">
        <f t="shared" si="0"/>
        <v>0</v>
      </c>
      <c r="I50" s="15">
        <f t="shared" si="1"/>
        <v>0</v>
      </c>
      <c r="J50" s="18">
        <f>Output!F49</f>
        <v>0</v>
      </c>
      <c r="K50" s="18">
        <f>Output!G49</f>
        <v>0</v>
      </c>
    </row>
    <row r="51" spans="1:11" ht="18" customHeight="1" x14ac:dyDescent="0.25">
      <c r="A51" s="15">
        <f>Output!A50</f>
        <v>0</v>
      </c>
      <c r="B51" s="15">
        <f>Output!B50</f>
        <v>0</v>
      </c>
      <c r="C51" s="15" t="str">
        <f>IFERROR(INT(Output!C50)&amp;" "&amp;IF(MROUND((Output!C50-INT(Output!C50)),1/8)=0,"",VLOOKUP(MROUND((Output!C50-INT(Output!C50)),1/8),fract[],2,FALSE))&amp;"''","")</f>
        <v>0 ''</v>
      </c>
      <c r="D51" s="15" t="str">
        <f>IFERROR(ROUND(INT(Output!D50)/12,0)&amp;"'-"&amp;INT((Output!D50/12-INT(Output!D50/12))*12)&amp;" "&amp;IF(MROUND((Output!D50/12-INT(Output!D50/12))*12-INT((Output!D50/12-INT(Output!D50/12))*12),1/8)=0,"",VLOOKUP(MROUND((Output!D50/12-INT(Output!D50/12))*12-INT((Output!D50/12-INT(Output!D50/12))*12),1/8),fract[],2,FALSE))&amp;"''","")</f>
        <v>0'-0 ''</v>
      </c>
      <c r="E51" s="15" t="str">
        <f>IFERROR(INT(Output!E50)&amp;" "&amp;IF(MROUND((Output!E50-INT(Output!E50)),1/8)=0,"",VLOOKUP(MROUND((Output!E50-INT(Output!E50)),1/8),fract[],2,FALSE))&amp;"''","")</f>
        <v>0 ''</v>
      </c>
      <c r="F51" s="14"/>
      <c r="G51" s="14"/>
      <c r="H51" s="15">
        <f t="shared" si="0"/>
        <v>0</v>
      </c>
      <c r="I51" s="15">
        <f t="shared" si="1"/>
        <v>0</v>
      </c>
      <c r="J51" s="18">
        <f>Output!F50</f>
        <v>0</v>
      </c>
      <c r="K51" s="18">
        <f>Output!G50</f>
        <v>0</v>
      </c>
    </row>
    <row r="52" spans="1:11" ht="18" customHeight="1" x14ac:dyDescent="0.25">
      <c r="A52" s="15">
        <f>Output!A51</f>
        <v>0</v>
      </c>
      <c r="B52" s="15">
        <f>Output!B51</f>
        <v>0</v>
      </c>
      <c r="C52" s="15" t="str">
        <f>IFERROR(INT(Output!C51)&amp;" "&amp;IF(MROUND((Output!C51-INT(Output!C51)),1/8)=0,"",VLOOKUP(MROUND((Output!C51-INT(Output!C51)),1/8),fract[],2,FALSE))&amp;"''","")</f>
        <v>0 ''</v>
      </c>
      <c r="D52" s="15" t="str">
        <f>IFERROR(ROUND(INT(Output!D51)/12,0)&amp;"'-"&amp;INT((Output!D51/12-INT(Output!D51/12))*12)&amp;" "&amp;IF(MROUND((Output!D51/12-INT(Output!D51/12))*12-INT((Output!D51/12-INT(Output!D51/12))*12),1/8)=0,"",VLOOKUP(MROUND((Output!D51/12-INT(Output!D51/12))*12-INT((Output!D51/12-INT(Output!D51/12))*12),1/8),fract[],2,FALSE))&amp;"''","")</f>
        <v>0'-0 ''</v>
      </c>
      <c r="E52" s="15" t="str">
        <f>IFERROR(INT(Output!E51)&amp;" "&amp;IF(MROUND((Output!E51-INT(Output!E51)),1/8)=0,"",VLOOKUP(MROUND((Output!E51-INT(Output!E51)),1/8),fract[],2,FALSE))&amp;"''","")</f>
        <v>0 ''</v>
      </c>
      <c r="F52" s="14"/>
      <c r="G52" s="14"/>
      <c r="H52" s="15">
        <f t="shared" si="0"/>
        <v>0</v>
      </c>
      <c r="I52" s="15">
        <f t="shared" si="1"/>
        <v>0</v>
      </c>
      <c r="J52" s="18">
        <f>Output!F51</f>
        <v>0</v>
      </c>
      <c r="K52" s="18">
        <f>Output!G51</f>
        <v>0</v>
      </c>
    </row>
    <row r="53" spans="1:11" ht="18" customHeight="1" x14ac:dyDescent="0.25">
      <c r="A53" s="15">
        <f>Output!A52</f>
        <v>0</v>
      </c>
      <c r="B53" s="15">
        <f>Output!B52</f>
        <v>0</v>
      </c>
      <c r="C53" s="15" t="str">
        <f>IFERROR(INT(Output!C52)&amp;" "&amp;IF(MROUND((Output!C52-INT(Output!C52)),1/8)=0,"",VLOOKUP(MROUND((Output!C52-INT(Output!C52)),1/8),fract[],2,FALSE))&amp;"''","")</f>
        <v>0 ''</v>
      </c>
      <c r="D53" s="15" t="str">
        <f>IFERROR(ROUND(INT(Output!D52)/12,0)&amp;"'-"&amp;INT((Output!D52/12-INT(Output!D52/12))*12)&amp;" "&amp;IF(MROUND((Output!D52/12-INT(Output!D52/12))*12-INT((Output!D52/12-INT(Output!D52/12))*12),1/8)=0,"",VLOOKUP(MROUND((Output!D52/12-INT(Output!D52/12))*12-INT((Output!D52/12-INT(Output!D52/12))*12),1/8),fract[],2,FALSE))&amp;"''","")</f>
        <v>0'-0 ''</v>
      </c>
      <c r="E53" s="15" t="str">
        <f>IFERROR(INT(Output!E52)&amp;" "&amp;IF(MROUND((Output!E52-INT(Output!E52)),1/8)=0,"",VLOOKUP(MROUND((Output!E52-INT(Output!E52)),1/8),fract[],2,FALSE))&amp;"''","")</f>
        <v>0 ''</v>
      </c>
      <c r="F53" s="14"/>
      <c r="G53" s="14"/>
      <c r="H53" s="15">
        <f t="shared" si="0"/>
        <v>0</v>
      </c>
      <c r="I53" s="15">
        <f t="shared" si="1"/>
        <v>0</v>
      </c>
      <c r="J53" s="18">
        <f>Output!F52</f>
        <v>0</v>
      </c>
      <c r="K53" s="18">
        <f>Output!G52</f>
        <v>0</v>
      </c>
    </row>
    <row r="54" spans="1:11" ht="18" customHeight="1" x14ac:dyDescent="0.25">
      <c r="A54" s="15">
        <f>Output!A53</f>
        <v>0</v>
      </c>
      <c r="B54" s="15">
        <f>Output!B53</f>
        <v>0</v>
      </c>
      <c r="C54" s="15" t="str">
        <f>IFERROR(INT(Output!C53)&amp;" "&amp;IF(MROUND((Output!C53-INT(Output!C53)),1/8)=0,"",VLOOKUP(MROUND((Output!C53-INT(Output!C53)),1/8),fract[],2,FALSE))&amp;"''","")</f>
        <v>0 ''</v>
      </c>
      <c r="D54" s="15" t="str">
        <f>IFERROR(ROUND(INT(Output!D53)/12,0)&amp;"'-"&amp;INT((Output!D53/12-INT(Output!D53/12))*12)&amp;" "&amp;IF(MROUND((Output!D53/12-INT(Output!D53/12))*12-INT((Output!D53/12-INT(Output!D53/12))*12),1/8)=0,"",VLOOKUP(MROUND((Output!D53/12-INT(Output!D53/12))*12-INT((Output!D53/12-INT(Output!D53/12))*12),1/8),fract[],2,FALSE))&amp;"''","")</f>
        <v>0'-0 ''</v>
      </c>
      <c r="E54" s="15" t="str">
        <f>IFERROR(INT(Output!E53)&amp;" "&amp;IF(MROUND((Output!E53-INT(Output!E53)),1/8)=0,"",VLOOKUP(MROUND((Output!E53-INT(Output!E53)),1/8),fract[],2,FALSE))&amp;"''","")</f>
        <v>0 ''</v>
      </c>
      <c r="F54" s="14"/>
      <c r="G54" s="14"/>
      <c r="H54" s="15">
        <f t="shared" si="0"/>
        <v>0</v>
      </c>
      <c r="I54" s="15">
        <f t="shared" si="1"/>
        <v>0</v>
      </c>
      <c r="J54" s="18">
        <f>Output!F53</f>
        <v>0</v>
      </c>
      <c r="K54" s="18">
        <f>Output!G53</f>
        <v>0</v>
      </c>
    </row>
    <row r="55" spans="1:11" ht="18" customHeight="1" x14ac:dyDescent="0.25">
      <c r="A55" s="15">
        <f>Output!A54</f>
        <v>0</v>
      </c>
      <c r="B55" s="15">
        <f>Output!B54</f>
        <v>0</v>
      </c>
      <c r="C55" s="15" t="str">
        <f>IFERROR(INT(Output!C54)&amp;" "&amp;IF(MROUND((Output!C54-INT(Output!C54)),1/8)=0,"",VLOOKUP(MROUND((Output!C54-INT(Output!C54)),1/8),fract[],2,FALSE))&amp;"''","")</f>
        <v>0 ''</v>
      </c>
      <c r="D55" s="15" t="str">
        <f>IFERROR(ROUND(INT(Output!D54)/12,0)&amp;"'-"&amp;INT((Output!D54/12-INT(Output!D54/12))*12)&amp;" "&amp;IF(MROUND((Output!D54/12-INT(Output!D54/12))*12-INT((Output!D54/12-INT(Output!D54/12))*12),1/8)=0,"",VLOOKUP(MROUND((Output!D54/12-INT(Output!D54/12))*12-INT((Output!D54/12-INT(Output!D54/12))*12),1/8),fract[],2,FALSE))&amp;"''","")</f>
        <v>0'-0 ''</v>
      </c>
      <c r="E55" s="15" t="str">
        <f>IFERROR(INT(Output!E54)&amp;" "&amp;IF(MROUND((Output!E54-INT(Output!E54)),1/8)=0,"",VLOOKUP(MROUND((Output!E54-INT(Output!E54)),1/8),fract[],2,FALSE))&amp;"''","")</f>
        <v>0 ''</v>
      </c>
      <c r="F55" s="14"/>
      <c r="G55" s="14"/>
      <c r="H55" s="15">
        <f t="shared" si="0"/>
        <v>0</v>
      </c>
      <c r="I55" s="15">
        <f t="shared" si="1"/>
        <v>0</v>
      </c>
      <c r="J55" s="18">
        <f>Output!F54</f>
        <v>0</v>
      </c>
      <c r="K55" s="18">
        <f>Output!G54</f>
        <v>0</v>
      </c>
    </row>
    <row r="56" spans="1:11" ht="18" customHeight="1" x14ac:dyDescent="0.25">
      <c r="A56" s="15">
        <f>Output!A55</f>
        <v>0</v>
      </c>
      <c r="B56" s="15">
        <f>Output!B55</f>
        <v>0</v>
      </c>
      <c r="C56" s="15" t="str">
        <f>IFERROR(INT(Output!C55)&amp;" "&amp;IF(MROUND((Output!C55-INT(Output!C55)),1/8)=0,"",VLOOKUP(MROUND((Output!C55-INT(Output!C55)),1/8),fract[],2,FALSE))&amp;"''","")</f>
        <v>0 ''</v>
      </c>
      <c r="D56" s="15" t="str">
        <f>IFERROR(ROUND(INT(Output!D55)/12,0)&amp;"'-"&amp;INT((Output!D55/12-INT(Output!D55/12))*12)&amp;" "&amp;IF(MROUND((Output!D55/12-INT(Output!D55/12))*12-INT((Output!D55/12-INT(Output!D55/12))*12),1/8)=0,"",VLOOKUP(MROUND((Output!D55/12-INT(Output!D55/12))*12-INT((Output!D55/12-INT(Output!D55/12))*12),1/8),fract[],2,FALSE))&amp;"''","")</f>
        <v>0'-0 ''</v>
      </c>
      <c r="E56" s="15" t="str">
        <f>IFERROR(INT(Output!E55)&amp;" "&amp;IF(MROUND((Output!E55-INT(Output!E55)),1/8)=0,"",VLOOKUP(MROUND((Output!E55-INT(Output!E55)),1/8),fract[],2,FALSE))&amp;"''","")</f>
        <v>0 ''</v>
      </c>
      <c r="F56" s="14"/>
      <c r="G56" s="14"/>
      <c r="H56" s="15">
        <f t="shared" si="0"/>
        <v>0</v>
      </c>
      <c r="I56" s="15">
        <f t="shared" si="1"/>
        <v>0</v>
      </c>
      <c r="J56" s="18">
        <f>Output!F55</f>
        <v>0</v>
      </c>
      <c r="K56" s="18">
        <f>Output!G55</f>
        <v>0</v>
      </c>
    </row>
    <row r="57" spans="1:11" ht="18" customHeight="1" x14ac:dyDescent="0.25">
      <c r="A57" s="15">
        <f>Output!A56</f>
        <v>0</v>
      </c>
      <c r="B57" s="15">
        <f>Output!B56</f>
        <v>0</v>
      </c>
      <c r="C57" s="15" t="str">
        <f>IFERROR(INT(Output!C56)&amp;" "&amp;IF(MROUND((Output!C56-INT(Output!C56)),1/8)=0,"",VLOOKUP(MROUND((Output!C56-INT(Output!C56)),1/8),fract[],2,FALSE))&amp;"''","")</f>
        <v>0 ''</v>
      </c>
      <c r="D57" s="15" t="str">
        <f>IFERROR(ROUND(INT(Output!D56)/12,0)&amp;"'-"&amp;INT((Output!D56/12-INT(Output!D56/12))*12)&amp;" "&amp;IF(MROUND((Output!D56/12-INT(Output!D56/12))*12-INT((Output!D56/12-INT(Output!D56/12))*12),1/8)=0,"",VLOOKUP(MROUND((Output!D56/12-INT(Output!D56/12))*12-INT((Output!D56/12-INT(Output!D56/12))*12),1/8),fract[],2,FALSE))&amp;"''","")</f>
        <v>0'-0 ''</v>
      </c>
      <c r="E57" s="15" t="str">
        <f>IFERROR(INT(Output!E56)&amp;" "&amp;IF(MROUND((Output!E56-INT(Output!E56)),1/8)=0,"",VLOOKUP(MROUND((Output!E56-INT(Output!E56)),1/8),fract[],2,FALSE))&amp;"''","")</f>
        <v>0 ''</v>
      </c>
      <c r="F57" s="14"/>
      <c r="G57" s="14"/>
      <c r="H57" s="15">
        <f t="shared" si="0"/>
        <v>0</v>
      </c>
      <c r="I57" s="15">
        <f t="shared" si="1"/>
        <v>0</v>
      </c>
      <c r="J57" s="18">
        <f>Output!F56</f>
        <v>0</v>
      </c>
      <c r="K57" s="18">
        <f>Output!G56</f>
        <v>0</v>
      </c>
    </row>
    <row r="58" spans="1:11" ht="18" customHeight="1" x14ac:dyDescent="0.25">
      <c r="A58" s="15">
        <f>Output!A57</f>
        <v>0</v>
      </c>
      <c r="B58" s="15">
        <f>Output!B57</f>
        <v>0</v>
      </c>
      <c r="C58" s="15" t="str">
        <f>IFERROR(INT(Output!C57)&amp;" "&amp;IF(MROUND((Output!C57-INT(Output!C57)),1/8)=0,"",VLOOKUP(MROUND((Output!C57-INT(Output!C57)),1/8),fract[],2,FALSE))&amp;"''","")</f>
        <v>0 ''</v>
      </c>
      <c r="D58" s="15" t="str">
        <f>IFERROR(ROUND(INT(Output!D57)/12,0)&amp;"'-"&amp;INT((Output!D57/12-INT(Output!D57/12))*12)&amp;" "&amp;IF(MROUND((Output!D57/12-INT(Output!D57/12))*12-INT((Output!D57/12-INT(Output!D57/12))*12),1/8)=0,"",VLOOKUP(MROUND((Output!D57/12-INT(Output!D57/12))*12-INT((Output!D57/12-INT(Output!D57/12))*12),1/8),fract[],2,FALSE))&amp;"''","")</f>
        <v>0'-0 ''</v>
      </c>
      <c r="E58" s="15" t="str">
        <f>IFERROR(INT(Output!E57)&amp;" "&amp;IF(MROUND((Output!E57-INT(Output!E57)),1/8)=0,"",VLOOKUP(MROUND((Output!E57-INT(Output!E57)),1/8),fract[],2,FALSE))&amp;"''","")</f>
        <v>0 ''</v>
      </c>
      <c r="F58" s="14"/>
      <c r="G58" s="14"/>
      <c r="H58" s="15">
        <f t="shared" si="0"/>
        <v>0</v>
      </c>
      <c r="I58" s="15">
        <f t="shared" si="1"/>
        <v>0</v>
      </c>
      <c r="J58" s="18">
        <f>Output!F57</f>
        <v>0</v>
      </c>
      <c r="K58" s="18">
        <f>Output!G57</f>
        <v>0</v>
      </c>
    </row>
    <row r="59" spans="1:11" ht="18" customHeight="1" x14ac:dyDescent="0.25">
      <c r="A59" s="15">
        <f>Output!A58</f>
        <v>0</v>
      </c>
      <c r="B59" s="15">
        <f>Output!B58</f>
        <v>0</v>
      </c>
      <c r="C59" s="15" t="str">
        <f>IFERROR(INT(Output!C58)&amp;" "&amp;IF(MROUND((Output!C58-INT(Output!C58)),1/8)=0,"",VLOOKUP(MROUND((Output!C58-INT(Output!C58)),1/8),fract[],2,FALSE))&amp;"''","")</f>
        <v>0 ''</v>
      </c>
      <c r="D59" s="15" t="str">
        <f>IFERROR(ROUND(INT(Output!D58)/12,0)&amp;"'-"&amp;INT((Output!D58/12-INT(Output!D58/12))*12)&amp;" "&amp;IF(MROUND((Output!D58/12-INT(Output!D58/12))*12-INT((Output!D58/12-INT(Output!D58/12))*12),1/8)=0,"",VLOOKUP(MROUND((Output!D58/12-INT(Output!D58/12))*12-INT((Output!D58/12-INT(Output!D58/12))*12),1/8),fract[],2,FALSE))&amp;"''","")</f>
        <v>0'-0 ''</v>
      </c>
      <c r="E59" s="15" t="str">
        <f>IFERROR(INT(Output!E58)&amp;" "&amp;IF(MROUND((Output!E58-INT(Output!E58)),1/8)=0,"",VLOOKUP(MROUND((Output!E58-INT(Output!E58)),1/8),fract[],2,FALSE))&amp;"''","")</f>
        <v>0 ''</v>
      </c>
      <c r="F59" s="14"/>
      <c r="G59" s="14"/>
      <c r="H59" s="15">
        <f t="shared" si="0"/>
        <v>0</v>
      </c>
      <c r="I59" s="15">
        <f t="shared" si="1"/>
        <v>0</v>
      </c>
      <c r="J59" s="18">
        <f>Output!F58</f>
        <v>0</v>
      </c>
      <c r="K59" s="18">
        <f>Output!G58</f>
        <v>0</v>
      </c>
    </row>
    <row r="60" spans="1:11" ht="18" customHeight="1" x14ac:dyDescent="0.25">
      <c r="A60" s="15">
        <f>Output!A59</f>
        <v>0</v>
      </c>
      <c r="B60" s="15">
        <f>Output!B59</f>
        <v>0</v>
      </c>
      <c r="C60" s="15" t="str">
        <f>IFERROR(INT(Output!C59)&amp;" "&amp;IF(MROUND((Output!C59-INT(Output!C59)),1/8)=0,"",VLOOKUP(MROUND((Output!C59-INT(Output!C59)),1/8),fract[],2,FALSE))&amp;"''","")</f>
        <v>0 ''</v>
      </c>
      <c r="D60" s="15" t="str">
        <f>IFERROR(ROUND(INT(Output!D59)/12,0)&amp;"'-"&amp;INT((Output!D59/12-INT(Output!D59/12))*12)&amp;" "&amp;IF(MROUND((Output!D59/12-INT(Output!D59/12))*12-INT((Output!D59/12-INT(Output!D59/12))*12),1/8)=0,"",VLOOKUP(MROUND((Output!D59/12-INT(Output!D59/12))*12-INT((Output!D59/12-INT(Output!D59/12))*12),1/8),fract[],2,FALSE))&amp;"''","")</f>
        <v>0'-0 ''</v>
      </c>
      <c r="E60" s="15" t="str">
        <f>IFERROR(INT(Output!E59)&amp;" "&amp;IF(MROUND((Output!E59-INT(Output!E59)),1/8)=0,"",VLOOKUP(MROUND((Output!E59-INT(Output!E59)),1/8),fract[],2,FALSE))&amp;"''","")</f>
        <v>0 ''</v>
      </c>
      <c r="F60" s="14"/>
      <c r="G60" s="14"/>
      <c r="H60" s="15">
        <f t="shared" si="0"/>
        <v>0</v>
      </c>
      <c r="I60" s="15">
        <f t="shared" si="1"/>
        <v>0</v>
      </c>
      <c r="J60" s="18">
        <f>Output!F59</f>
        <v>0</v>
      </c>
      <c r="K60" s="18">
        <f>Output!G59</f>
        <v>0</v>
      </c>
    </row>
    <row r="61" spans="1:11" ht="18" customHeight="1" x14ac:dyDescent="0.25">
      <c r="A61" s="15">
        <f>Output!A60</f>
        <v>0</v>
      </c>
      <c r="B61" s="15">
        <f>Output!B60</f>
        <v>0</v>
      </c>
      <c r="C61" s="15" t="str">
        <f>IFERROR(INT(Output!C60)&amp;" "&amp;IF(MROUND((Output!C60-INT(Output!C60)),1/8)=0,"",VLOOKUP(MROUND((Output!C60-INT(Output!C60)),1/8),fract[],2,FALSE))&amp;"''","")</f>
        <v>0 ''</v>
      </c>
      <c r="D61" s="15" t="str">
        <f>IFERROR(ROUND(INT(Output!D60)/12,0)&amp;"'-"&amp;INT((Output!D60/12-INT(Output!D60/12))*12)&amp;" "&amp;IF(MROUND((Output!D60/12-INT(Output!D60/12))*12-INT((Output!D60/12-INT(Output!D60/12))*12),1/8)=0,"",VLOOKUP(MROUND((Output!D60/12-INT(Output!D60/12))*12-INT((Output!D60/12-INT(Output!D60/12))*12),1/8),fract[],2,FALSE))&amp;"''","")</f>
        <v>0'-0 ''</v>
      </c>
      <c r="E61" s="15" t="str">
        <f>IFERROR(INT(Output!E60)&amp;" "&amp;IF(MROUND((Output!E60-INT(Output!E60)),1/8)=0,"",VLOOKUP(MROUND((Output!E60-INT(Output!E60)),1/8),fract[],2,FALSE))&amp;"''","")</f>
        <v>0 ''</v>
      </c>
      <c r="F61" s="14"/>
      <c r="G61" s="14"/>
      <c r="H61" s="15">
        <f t="shared" si="0"/>
        <v>0</v>
      </c>
      <c r="I61" s="15">
        <f t="shared" si="1"/>
        <v>0</v>
      </c>
      <c r="J61" s="18">
        <f>Output!F60</f>
        <v>0</v>
      </c>
      <c r="K61" s="18">
        <f>Output!G60</f>
        <v>0</v>
      </c>
    </row>
    <row r="62" spans="1:11" ht="18" customHeight="1" x14ac:dyDescent="0.25">
      <c r="A62" s="15">
        <f>Output!A61</f>
        <v>0</v>
      </c>
      <c r="B62" s="15">
        <f>Output!B61</f>
        <v>0</v>
      </c>
      <c r="C62" s="15" t="str">
        <f>IFERROR(INT(Output!C61)&amp;" "&amp;IF(MROUND((Output!C61-INT(Output!C61)),1/8)=0,"",VLOOKUP(MROUND((Output!C61-INT(Output!C61)),1/8),fract[],2,FALSE))&amp;"''","")</f>
        <v>0 ''</v>
      </c>
      <c r="D62" s="15" t="str">
        <f>IFERROR(ROUND(INT(Output!D61)/12,0)&amp;"'-"&amp;INT((Output!D61/12-INT(Output!D61/12))*12)&amp;" "&amp;IF(MROUND((Output!D61/12-INT(Output!D61/12))*12-INT((Output!D61/12-INT(Output!D61/12))*12),1/8)=0,"",VLOOKUP(MROUND((Output!D61/12-INT(Output!D61/12))*12-INT((Output!D61/12-INT(Output!D61/12))*12),1/8),fract[],2,FALSE))&amp;"''","")</f>
        <v>0'-0 ''</v>
      </c>
      <c r="E62" s="15" t="str">
        <f>IFERROR(INT(Output!E61)&amp;" "&amp;IF(MROUND((Output!E61-INT(Output!E61)),1/8)=0,"",VLOOKUP(MROUND((Output!E61-INT(Output!E61)),1/8),fract[],2,FALSE))&amp;"''","")</f>
        <v>0 ''</v>
      </c>
      <c r="F62" s="14"/>
      <c r="G62" s="14"/>
      <c r="H62" s="15">
        <f t="shared" si="0"/>
        <v>0</v>
      </c>
      <c r="I62" s="15">
        <f t="shared" si="1"/>
        <v>0</v>
      </c>
      <c r="J62" s="18">
        <f>Output!F61</f>
        <v>0</v>
      </c>
      <c r="K62" s="18">
        <f>Output!G61</f>
        <v>0</v>
      </c>
    </row>
    <row r="63" spans="1:11" ht="18" customHeight="1" x14ac:dyDescent="0.25">
      <c r="A63" s="15">
        <f>Output!A62</f>
        <v>0</v>
      </c>
      <c r="B63" s="15">
        <f>Output!B62</f>
        <v>0</v>
      </c>
      <c r="C63" s="15" t="str">
        <f>IFERROR(INT(Output!C62)&amp;" "&amp;IF(MROUND((Output!C62-INT(Output!C62)),1/8)=0,"",VLOOKUP(MROUND((Output!C62-INT(Output!C62)),1/8),fract[],2,FALSE))&amp;"''","")</f>
        <v>0 ''</v>
      </c>
      <c r="D63" s="15" t="str">
        <f>IFERROR(ROUND(INT(Output!D62)/12,0)&amp;"'-"&amp;INT((Output!D62/12-INT(Output!D62/12))*12)&amp;" "&amp;IF(MROUND((Output!D62/12-INT(Output!D62/12))*12-INT((Output!D62/12-INT(Output!D62/12))*12),1/8)=0,"",VLOOKUP(MROUND((Output!D62/12-INT(Output!D62/12))*12-INT((Output!D62/12-INT(Output!D62/12))*12),1/8),fract[],2,FALSE))&amp;"''","")</f>
        <v>0'-0 ''</v>
      </c>
      <c r="E63" s="15" t="str">
        <f>IFERROR(INT(Output!E62)&amp;" "&amp;IF(MROUND((Output!E62-INT(Output!E62)),1/8)=0,"",VLOOKUP(MROUND((Output!E62-INT(Output!E62)),1/8),fract[],2,FALSE))&amp;"''","")</f>
        <v>0 ''</v>
      </c>
      <c r="F63" s="14"/>
      <c r="G63" s="14"/>
      <c r="H63" s="15">
        <f t="shared" si="0"/>
        <v>0</v>
      </c>
      <c r="I63" s="15">
        <f t="shared" si="1"/>
        <v>0</v>
      </c>
      <c r="J63" s="18">
        <f>Output!F62</f>
        <v>0</v>
      </c>
      <c r="K63" s="18">
        <f>Output!G62</f>
        <v>0</v>
      </c>
    </row>
    <row r="64" spans="1:11" ht="18" customHeight="1" x14ac:dyDescent="0.25">
      <c r="A64" s="15">
        <f>Output!A63</f>
        <v>0</v>
      </c>
      <c r="B64" s="15">
        <f>Output!B63</f>
        <v>0</v>
      </c>
      <c r="C64" s="15" t="str">
        <f>IFERROR(INT(Output!C63)&amp;" "&amp;IF(MROUND((Output!C63-INT(Output!C63)),1/8)=0,"",VLOOKUP(MROUND((Output!C63-INT(Output!C63)),1/8),fract[],2,FALSE))&amp;"''","")</f>
        <v>0 ''</v>
      </c>
      <c r="D64" s="15" t="str">
        <f>IFERROR(ROUND(INT(Output!D63)/12,0)&amp;"'-"&amp;INT((Output!D63/12-INT(Output!D63/12))*12)&amp;" "&amp;IF(MROUND((Output!D63/12-INT(Output!D63/12))*12-INT((Output!D63/12-INT(Output!D63/12))*12),1/8)=0,"",VLOOKUP(MROUND((Output!D63/12-INT(Output!D63/12))*12-INT((Output!D63/12-INT(Output!D63/12))*12),1/8),fract[],2,FALSE))&amp;"''","")</f>
        <v>0'-0 ''</v>
      </c>
      <c r="E64" s="15" t="str">
        <f>IFERROR(INT(Output!E63)&amp;" "&amp;IF(MROUND((Output!E63-INT(Output!E63)),1/8)=0,"",VLOOKUP(MROUND((Output!E63-INT(Output!E63)),1/8),fract[],2,FALSE))&amp;"''","")</f>
        <v>0 ''</v>
      </c>
      <c r="F64" s="14"/>
      <c r="G64" s="14"/>
      <c r="H64" s="15">
        <f t="shared" si="0"/>
        <v>0</v>
      </c>
      <c r="I64" s="15">
        <f t="shared" si="1"/>
        <v>0</v>
      </c>
      <c r="J64" s="18">
        <f>Output!F63</f>
        <v>0</v>
      </c>
      <c r="K64" s="18">
        <f>Output!G63</f>
        <v>0</v>
      </c>
    </row>
    <row r="65" spans="1:11" ht="18" customHeight="1" x14ac:dyDescent="0.25">
      <c r="A65" s="15">
        <f>Output!A64</f>
        <v>0</v>
      </c>
      <c r="B65" s="15">
        <f>Output!B64</f>
        <v>0</v>
      </c>
      <c r="C65" s="15" t="str">
        <f>IFERROR(INT(Output!C64)&amp;" "&amp;IF(MROUND((Output!C64-INT(Output!C64)),1/8)=0,"",VLOOKUP(MROUND((Output!C64-INT(Output!C64)),1/8),fract[],2,FALSE))&amp;"''","")</f>
        <v>0 ''</v>
      </c>
      <c r="D65" s="15" t="str">
        <f>IFERROR(ROUND(INT(Output!D64)/12,0)&amp;"'-"&amp;INT((Output!D64/12-INT(Output!D64/12))*12)&amp;" "&amp;IF(MROUND((Output!D64/12-INT(Output!D64/12))*12-INT((Output!D64/12-INT(Output!D64/12))*12),1/8)=0,"",VLOOKUP(MROUND((Output!D64/12-INT(Output!D64/12))*12-INT((Output!D64/12-INT(Output!D64/12))*12),1/8),fract[],2,FALSE))&amp;"''","")</f>
        <v>0'-0 ''</v>
      </c>
      <c r="E65" s="15" t="str">
        <f>IFERROR(INT(Output!E64)&amp;" "&amp;IF(MROUND((Output!E64-INT(Output!E64)),1/8)=0,"",VLOOKUP(MROUND((Output!E64-INT(Output!E64)),1/8),fract[],2,FALSE))&amp;"''","")</f>
        <v>0 ''</v>
      </c>
      <c r="F65" s="14"/>
      <c r="G65" s="14"/>
      <c r="H65" s="15">
        <f t="shared" si="0"/>
        <v>0</v>
      </c>
      <c r="I65" s="15">
        <f t="shared" si="1"/>
        <v>0</v>
      </c>
      <c r="J65" s="18">
        <f>Output!F64</f>
        <v>0</v>
      </c>
      <c r="K65" s="18">
        <f>Output!G64</f>
        <v>0</v>
      </c>
    </row>
    <row r="66" spans="1:11" ht="18" customHeight="1" x14ac:dyDescent="0.25">
      <c r="A66" s="15">
        <f>Output!A65</f>
        <v>0</v>
      </c>
      <c r="B66" s="15">
        <f>Output!B65</f>
        <v>0</v>
      </c>
      <c r="C66" s="15" t="str">
        <f>IFERROR(INT(Output!C65)&amp;" "&amp;IF(MROUND((Output!C65-INT(Output!C65)),1/8)=0,"",VLOOKUP(MROUND((Output!C65-INT(Output!C65)),1/8),fract[],2,FALSE))&amp;"''","")</f>
        <v>0 ''</v>
      </c>
      <c r="D66" s="15" t="str">
        <f>IFERROR(ROUND(INT(Output!D65)/12,0)&amp;"'-"&amp;INT((Output!D65/12-INT(Output!D65/12))*12)&amp;" "&amp;IF(MROUND((Output!D65/12-INT(Output!D65/12))*12-INT((Output!D65/12-INT(Output!D65/12))*12),1/8)=0,"",VLOOKUP(MROUND((Output!D65/12-INT(Output!D65/12))*12-INT((Output!D65/12-INT(Output!D65/12))*12),1/8),fract[],2,FALSE))&amp;"''","")</f>
        <v>0'-0 ''</v>
      </c>
      <c r="E66" s="15" t="str">
        <f>IFERROR(INT(Output!E65)&amp;" "&amp;IF(MROUND((Output!E65-INT(Output!E65)),1/8)=0,"",VLOOKUP(MROUND((Output!E65-INT(Output!E65)),1/8),fract[],2,FALSE))&amp;"''","")</f>
        <v>0 ''</v>
      </c>
      <c r="F66" s="14"/>
      <c r="G66" s="14"/>
      <c r="H66" s="15">
        <f t="shared" si="0"/>
        <v>0</v>
      </c>
      <c r="I66" s="15">
        <f t="shared" si="1"/>
        <v>0</v>
      </c>
      <c r="J66" s="18">
        <f>Output!F65</f>
        <v>0</v>
      </c>
      <c r="K66" s="18">
        <f>Output!G65</f>
        <v>0</v>
      </c>
    </row>
    <row r="67" spans="1:11" ht="18" customHeight="1" x14ac:dyDescent="0.25">
      <c r="A67" s="15">
        <f>Output!A66</f>
        <v>0</v>
      </c>
      <c r="B67" s="15">
        <f>Output!B66</f>
        <v>0</v>
      </c>
      <c r="C67" s="15" t="str">
        <f>IFERROR(INT(Output!C66)&amp;" "&amp;IF(MROUND((Output!C66-INT(Output!C66)),1/8)=0,"",VLOOKUP(MROUND((Output!C66-INT(Output!C66)),1/8),fract[],2,FALSE))&amp;"''","")</f>
        <v>0 ''</v>
      </c>
      <c r="D67" s="15" t="str">
        <f>IFERROR(ROUND(INT(Output!D66)/12,0)&amp;"'-"&amp;INT((Output!D66/12-INT(Output!D66/12))*12)&amp;" "&amp;IF(MROUND((Output!D66/12-INT(Output!D66/12))*12-INT((Output!D66/12-INT(Output!D66/12))*12),1/8)=0,"",VLOOKUP(MROUND((Output!D66/12-INT(Output!D66/12))*12-INT((Output!D66/12-INT(Output!D66/12))*12),1/8),fract[],2,FALSE))&amp;"''","")</f>
        <v>0'-0 ''</v>
      </c>
      <c r="E67" s="15" t="str">
        <f>IFERROR(INT(Output!E66)&amp;" "&amp;IF(MROUND((Output!E66-INT(Output!E66)),1/8)=0,"",VLOOKUP(MROUND((Output!E66-INT(Output!E66)),1/8),fract[],2,FALSE))&amp;"''","")</f>
        <v>0 ''</v>
      </c>
      <c r="F67" s="14"/>
      <c r="G67" s="14"/>
      <c r="H67" s="15">
        <f t="shared" si="0"/>
        <v>0</v>
      </c>
      <c r="I67" s="15">
        <f t="shared" si="1"/>
        <v>0</v>
      </c>
      <c r="J67" s="18">
        <f>Output!F66</f>
        <v>0</v>
      </c>
      <c r="K67" s="18">
        <f>Output!G66</f>
        <v>0</v>
      </c>
    </row>
    <row r="68" spans="1:11" ht="18" customHeight="1" x14ac:dyDescent="0.25">
      <c r="A68" s="15">
        <f>Output!A67</f>
        <v>0</v>
      </c>
      <c r="B68" s="15">
        <f>Output!B67</f>
        <v>0</v>
      </c>
      <c r="C68" s="15" t="str">
        <f>IFERROR(INT(Output!C67)&amp;" "&amp;IF(MROUND((Output!C67-INT(Output!C67)),1/8)=0,"",VLOOKUP(MROUND((Output!C67-INT(Output!C67)),1/8),fract[],2,FALSE))&amp;"''","")</f>
        <v>0 ''</v>
      </c>
      <c r="D68" s="15" t="str">
        <f>IFERROR(ROUND(INT(Output!D67)/12,0)&amp;"'-"&amp;INT((Output!D67/12-INT(Output!D67/12))*12)&amp;" "&amp;IF(MROUND((Output!D67/12-INT(Output!D67/12))*12-INT((Output!D67/12-INT(Output!D67/12))*12),1/8)=0,"",VLOOKUP(MROUND((Output!D67/12-INT(Output!D67/12))*12-INT((Output!D67/12-INT(Output!D67/12))*12),1/8),fract[],2,FALSE))&amp;"''","")</f>
        <v>0'-0 ''</v>
      </c>
      <c r="E68" s="15" t="str">
        <f>IFERROR(INT(Output!E67)&amp;" "&amp;IF(MROUND((Output!E67-INT(Output!E67)),1/8)=0,"",VLOOKUP(MROUND((Output!E67-INT(Output!E67)),1/8),fract[],2,FALSE))&amp;"''","")</f>
        <v>0 ''</v>
      </c>
      <c r="F68" s="14"/>
      <c r="G68" s="14"/>
      <c r="H68" s="15">
        <f t="shared" si="0"/>
        <v>0</v>
      </c>
      <c r="I68" s="15">
        <f t="shared" si="1"/>
        <v>0</v>
      </c>
      <c r="J68" s="18">
        <f>Output!F67</f>
        <v>0</v>
      </c>
      <c r="K68" s="18">
        <f>Output!G67</f>
        <v>0</v>
      </c>
    </row>
    <row r="69" spans="1:11" ht="18" customHeight="1" x14ac:dyDescent="0.25">
      <c r="A69" s="15">
        <f>Output!A68</f>
        <v>0</v>
      </c>
      <c r="B69" s="15">
        <f>Output!B68</f>
        <v>0</v>
      </c>
      <c r="C69" s="15" t="str">
        <f>IFERROR(INT(Output!C68)&amp;" "&amp;IF(MROUND((Output!C68-INT(Output!C68)),1/8)=0,"",VLOOKUP(MROUND((Output!C68-INT(Output!C68)),1/8),fract[],2,FALSE))&amp;"''","")</f>
        <v>0 ''</v>
      </c>
      <c r="D69" s="15" t="str">
        <f>IFERROR(ROUND(INT(Output!D68)/12,0)&amp;"'-"&amp;INT((Output!D68/12-INT(Output!D68/12))*12)&amp;" "&amp;IF(MROUND((Output!D68/12-INT(Output!D68/12))*12-INT((Output!D68/12-INT(Output!D68/12))*12),1/8)=0,"",VLOOKUP(MROUND((Output!D68/12-INT(Output!D68/12))*12-INT((Output!D68/12-INT(Output!D68/12))*12),1/8),fract[],2,FALSE))&amp;"''","")</f>
        <v>0'-0 ''</v>
      </c>
      <c r="E69" s="15" t="str">
        <f>IFERROR(INT(Output!E68)&amp;" "&amp;IF(MROUND((Output!E68-INT(Output!E68)),1/8)=0,"",VLOOKUP(MROUND((Output!E68-INT(Output!E68)),1/8),fract[],2,FALSE))&amp;"''","")</f>
        <v>0 ''</v>
      </c>
      <c r="F69" s="14"/>
      <c r="G69" s="14"/>
      <c r="H69" s="15">
        <f t="shared" ref="H69:H132" si="2">A69</f>
        <v>0</v>
      </c>
      <c r="I69" s="15">
        <f t="shared" ref="I69:I132" si="3">B69</f>
        <v>0</v>
      </c>
      <c r="J69" s="18">
        <f>Output!F68</f>
        <v>0</v>
      </c>
      <c r="K69" s="18">
        <f>Output!G68</f>
        <v>0</v>
      </c>
    </row>
    <row r="70" spans="1:11" ht="18" customHeight="1" x14ac:dyDescent="0.25">
      <c r="A70" s="15">
        <f>Output!A69</f>
        <v>0</v>
      </c>
      <c r="B70" s="15">
        <f>Output!B69</f>
        <v>0</v>
      </c>
      <c r="C70" s="15" t="str">
        <f>IFERROR(INT(Output!C69)&amp;" "&amp;IF(MROUND((Output!C69-INT(Output!C69)),1/8)=0,"",VLOOKUP(MROUND((Output!C69-INT(Output!C69)),1/8),fract[],2,FALSE))&amp;"''","")</f>
        <v>0 ''</v>
      </c>
      <c r="D70" s="15" t="str">
        <f>IFERROR(ROUND(INT(Output!D69)/12,0)&amp;"'-"&amp;INT((Output!D69/12-INT(Output!D69/12))*12)&amp;" "&amp;IF(MROUND((Output!D69/12-INT(Output!D69/12))*12-INT((Output!D69/12-INT(Output!D69/12))*12),1/8)=0,"",VLOOKUP(MROUND((Output!D69/12-INT(Output!D69/12))*12-INT((Output!D69/12-INT(Output!D69/12))*12),1/8),fract[],2,FALSE))&amp;"''","")</f>
        <v>0'-0 ''</v>
      </c>
      <c r="E70" s="15" t="str">
        <f>IFERROR(INT(Output!E69)&amp;" "&amp;IF(MROUND((Output!E69-INT(Output!E69)),1/8)=0,"",VLOOKUP(MROUND((Output!E69-INT(Output!E69)),1/8),fract[],2,FALSE))&amp;"''","")</f>
        <v>0 ''</v>
      </c>
      <c r="F70" s="14"/>
      <c r="G70" s="14"/>
      <c r="H70" s="15">
        <f t="shared" si="2"/>
        <v>0</v>
      </c>
      <c r="I70" s="15">
        <f t="shared" si="3"/>
        <v>0</v>
      </c>
      <c r="J70" s="18">
        <f>Output!F69</f>
        <v>0</v>
      </c>
      <c r="K70" s="18">
        <f>Output!G69</f>
        <v>0</v>
      </c>
    </row>
    <row r="71" spans="1:11" ht="18" customHeight="1" x14ac:dyDescent="0.25">
      <c r="A71" s="15">
        <f>Output!A70</f>
        <v>0</v>
      </c>
      <c r="B71" s="15">
        <f>Output!B70</f>
        <v>0</v>
      </c>
      <c r="C71" s="15" t="str">
        <f>IFERROR(INT(Output!C70)&amp;" "&amp;IF(MROUND((Output!C70-INT(Output!C70)),1/8)=0,"",VLOOKUP(MROUND((Output!C70-INT(Output!C70)),1/8),fract[],2,FALSE))&amp;"''","")</f>
        <v>0 ''</v>
      </c>
      <c r="D71" s="15" t="str">
        <f>IFERROR(ROUND(INT(Output!D70)/12,0)&amp;"'-"&amp;INT((Output!D70/12-INT(Output!D70/12))*12)&amp;" "&amp;IF(MROUND((Output!D70/12-INT(Output!D70/12))*12-INT((Output!D70/12-INT(Output!D70/12))*12),1/8)=0,"",VLOOKUP(MROUND((Output!D70/12-INT(Output!D70/12))*12-INT((Output!D70/12-INT(Output!D70/12))*12),1/8),fract[],2,FALSE))&amp;"''","")</f>
        <v>0'-0 ''</v>
      </c>
      <c r="E71" s="15" t="str">
        <f>IFERROR(INT(Output!E70)&amp;" "&amp;IF(MROUND((Output!E70-INT(Output!E70)),1/8)=0,"",VLOOKUP(MROUND((Output!E70-INT(Output!E70)),1/8),fract[],2,FALSE))&amp;"''","")</f>
        <v>0 ''</v>
      </c>
      <c r="F71" s="14"/>
      <c r="G71" s="14"/>
      <c r="H71" s="15">
        <f t="shared" si="2"/>
        <v>0</v>
      </c>
      <c r="I71" s="15">
        <f t="shared" si="3"/>
        <v>0</v>
      </c>
      <c r="J71" s="18">
        <f>Output!F70</f>
        <v>0</v>
      </c>
      <c r="K71" s="18">
        <f>Output!G70</f>
        <v>0</v>
      </c>
    </row>
    <row r="72" spans="1:11" ht="18" customHeight="1" x14ac:dyDescent="0.25">
      <c r="A72" s="15">
        <f>Output!A71</f>
        <v>0</v>
      </c>
      <c r="B72" s="15">
        <f>Output!B71</f>
        <v>0</v>
      </c>
      <c r="C72" s="15" t="str">
        <f>IFERROR(INT(Output!C71)&amp;" "&amp;IF(MROUND((Output!C71-INT(Output!C71)),1/8)=0,"",VLOOKUP(MROUND((Output!C71-INT(Output!C71)),1/8),fract[],2,FALSE))&amp;"''","")</f>
        <v>0 ''</v>
      </c>
      <c r="D72" s="15" t="str">
        <f>IFERROR(ROUND(INT(Output!D71)/12,0)&amp;"'-"&amp;INT((Output!D71/12-INT(Output!D71/12))*12)&amp;" "&amp;IF(MROUND((Output!D71/12-INT(Output!D71/12))*12-INT((Output!D71/12-INT(Output!D71/12))*12),1/8)=0,"",VLOOKUP(MROUND((Output!D71/12-INT(Output!D71/12))*12-INT((Output!D71/12-INT(Output!D71/12))*12),1/8),fract[],2,FALSE))&amp;"''","")</f>
        <v>0'-0 ''</v>
      </c>
      <c r="E72" s="15" t="str">
        <f>IFERROR(INT(Output!E71)&amp;" "&amp;IF(MROUND((Output!E71-INT(Output!E71)),1/8)=0,"",VLOOKUP(MROUND((Output!E71-INT(Output!E71)),1/8),fract[],2,FALSE))&amp;"''","")</f>
        <v>0 ''</v>
      </c>
      <c r="F72" s="14"/>
      <c r="G72" s="14"/>
      <c r="H72" s="15">
        <f t="shared" si="2"/>
        <v>0</v>
      </c>
      <c r="I72" s="15">
        <f t="shared" si="3"/>
        <v>0</v>
      </c>
      <c r="J72" s="18">
        <f>Output!F71</f>
        <v>0</v>
      </c>
      <c r="K72" s="18">
        <f>Output!G71</f>
        <v>0</v>
      </c>
    </row>
    <row r="73" spans="1:11" ht="18" customHeight="1" x14ac:dyDescent="0.25">
      <c r="A73" s="15">
        <f>Output!A72</f>
        <v>0</v>
      </c>
      <c r="B73" s="15">
        <f>Output!B72</f>
        <v>0</v>
      </c>
      <c r="C73" s="15" t="str">
        <f>IFERROR(INT(Output!C72)&amp;" "&amp;IF(MROUND((Output!C72-INT(Output!C72)),1/8)=0,"",VLOOKUP(MROUND((Output!C72-INT(Output!C72)),1/8),fract[],2,FALSE))&amp;"''","")</f>
        <v>0 ''</v>
      </c>
      <c r="D73" s="15" t="str">
        <f>IFERROR(ROUND(INT(Output!D72)/12,0)&amp;"'-"&amp;INT((Output!D72/12-INT(Output!D72/12))*12)&amp;" "&amp;IF(MROUND((Output!D72/12-INT(Output!D72/12))*12-INT((Output!D72/12-INT(Output!D72/12))*12),1/8)=0,"",VLOOKUP(MROUND((Output!D72/12-INT(Output!D72/12))*12-INT((Output!D72/12-INT(Output!D72/12))*12),1/8),fract[],2,FALSE))&amp;"''","")</f>
        <v>0'-0 ''</v>
      </c>
      <c r="E73" s="15" t="str">
        <f>IFERROR(INT(Output!E72)&amp;" "&amp;IF(MROUND((Output!E72-INT(Output!E72)),1/8)=0,"",VLOOKUP(MROUND((Output!E72-INT(Output!E72)),1/8),fract[],2,FALSE))&amp;"''","")</f>
        <v>0 ''</v>
      </c>
      <c r="F73" s="14"/>
      <c r="G73" s="14"/>
      <c r="H73" s="15">
        <f t="shared" si="2"/>
        <v>0</v>
      </c>
      <c r="I73" s="15">
        <f t="shared" si="3"/>
        <v>0</v>
      </c>
      <c r="J73" s="18">
        <f>Output!F72</f>
        <v>0</v>
      </c>
      <c r="K73" s="18">
        <f>Output!G72</f>
        <v>0</v>
      </c>
    </row>
    <row r="74" spans="1:11" ht="18" customHeight="1" x14ac:dyDescent="0.25">
      <c r="A74" s="15">
        <f>Output!A73</f>
        <v>0</v>
      </c>
      <c r="B74" s="15">
        <f>Output!B73</f>
        <v>0</v>
      </c>
      <c r="C74" s="15" t="str">
        <f>IFERROR(INT(Output!C73)&amp;" "&amp;IF(MROUND((Output!C73-INT(Output!C73)),1/8)=0,"",VLOOKUP(MROUND((Output!C73-INT(Output!C73)),1/8),fract[],2,FALSE))&amp;"''","")</f>
        <v>0 ''</v>
      </c>
      <c r="D74" s="15" t="str">
        <f>IFERROR(ROUND(INT(Output!D73)/12,0)&amp;"'-"&amp;INT((Output!D73/12-INT(Output!D73/12))*12)&amp;" "&amp;IF(MROUND((Output!D73/12-INT(Output!D73/12))*12-INT((Output!D73/12-INT(Output!D73/12))*12),1/8)=0,"",VLOOKUP(MROUND((Output!D73/12-INT(Output!D73/12))*12-INT((Output!D73/12-INT(Output!D73/12))*12),1/8),fract[],2,FALSE))&amp;"''","")</f>
        <v>0'-0 ''</v>
      </c>
      <c r="E74" s="15" t="str">
        <f>IFERROR(INT(Output!E73)&amp;" "&amp;IF(MROUND((Output!E73-INT(Output!E73)),1/8)=0,"",VLOOKUP(MROUND((Output!E73-INT(Output!E73)),1/8),fract[],2,FALSE))&amp;"''","")</f>
        <v>0 ''</v>
      </c>
      <c r="F74" s="14"/>
      <c r="G74" s="14"/>
      <c r="H74" s="15">
        <f t="shared" si="2"/>
        <v>0</v>
      </c>
      <c r="I74" s="15">
        <f t="shared" si="3"/>
        <v>0</v>
      </c>
      <c r="J74" s="18">
        <f>Output!F73</f>
        <v>0</v>
      </c>
      <c r="K74" s="18">
        <f>Output!G73</f>
        <v>0</v>
      </c>
    </row>
    <row r="75" spans="1:11" ht="18" customHeight="1" x14ac:dyDescent="0.25">
      <c r="A75" s="15">
        <f>Output!A74</f>
        <v>0</v>
      </c>
      <c r="B75" s="15">
        <f>Output!B74</f>
        <v>0</v>
      </c>
      <c r="C75" s="15" t="str">
        <f>IFERROR(INT(Output!C74)&amp;" "&amp;IF(MROUND((Output!C74-INT(Output!C74)),1/8)=0,"",VLOOKUP(MROUND((Output!C74-INT(Output!C74)),1/8),fract[],2,FALSE))&amp;"''","")</f>
        <v>0 ''</v>
      </c>
      <c r="D75" s="15" t="str">
        <f>IFERROR(ROUND(INT(Output!D74)/12,0)&amp;"'-"&amp;INT((Output!D74/12-INT(Output!D74/12))*12)&amp;" "&amp;IF(MROUND((Output!D74/12-INT(Output!D74/12))*12-INT((Output!D74/12-INT(Output!D74/12))*12),1/8)=0,"",VLOOKUP(MROUND((Output!D74/12-INT(Output!D74/12))*12-INT((Output!D74/12-INT(Output!D74/12))*12),1/8),fract[],2,FALSE))&amp;"''","")</f>
        <v>0'-0 ''</v>
      </c>
      <c r="E75" s="15" t="str">
        <f>IFERROR(INT(Output!E74)&amp;" "&amp;IF(MROUND((Output!E74-INT(Output!E74)),1/8)=0,"",VLOOKUP(MROUND((Output!E74-INT(Output!E74)),1/8),fract[],2,FALSE))&amp;"''","")</f>
        <v>0 ''</v>
      </c>
      <c r="F75" s="14"/>
      <c r="G75" s="14"/>
      <c r="H75" s="15">
        <f t="shared" si="2"/>
        <v>0</v>
      </c>
      <c r="I75" s="15">
        <f t="shared" si="3"/>
        <v>0</v>
      </c>
      <c r="J75" s="18">
        <f>Output!F74</f>
        <v>0</v>
      </c>
      <c r="K75" s="18">
        <f>Output!G74</f>
        <v>0</v>
      </c>
    </row>
    <row r="76" spans="1:11" ht="18" customHeight="1" x14ac:dyDescent="0.25">
      <c r="A76" s="15">
        <f>Output!A75</f>
        <v>0</v>
      </c>
      <c r="B76" s="15">
        <f>Output!B75</f>
        <v>0</v>
      </c>
      <c r="C76" s="15" t="str">
        <f>IFERROR(INT(Output!C75)&amp;" "&amp;IF(MROUND((Output!C75-INT(Output!C75)),1/8)=0,"",VLOOKUP(MROUND((Output!C75-INT(Output!C75)),1/8),fract[],2,FALSE))&amp;"''","")</f>
        <v>0 ''</v>
      </c>
      <c r="D76" s="15" t="str">
        <f>IFERROR(ROUND(INT(Output!D75)/12,0)&amp;"'-"&amp;INT((Output!D75/12-INT(Output!D75/12))*12)&amp;" "&amp;IF(MROUND((Output!D75/12-INT(Output!D75/12))*12-INT((Output!D75/12-INT(Output!D75/12))*12),1/8)=0,"",VLOOKUP(MROUND((Output!D75/12-INT(Output!D75/12))*12-INT((Output!D75/12-INT(Output!D75/12))*12),1/8),fract[],2,FALSE))&amp;"''","")</f>
        <v>0'-0 ''</v>
      </c>
      <c r="E76" s="15" t="str">
        <f>IFERROR(INT(Output!E75)&amp;" "&amp;IF(MROUND((Output!E75-INT(Output!E75)),1/8)=0,"",VLOOKUP(MROUND((Output!E75-INT(Output!E75)),1/8),fract[],2,FALSE))&amp;"''","")</f>
        <v>0 ''</v>
      </c>
      <c r="F76" s="14"/>
      <c r="G76" s="14"/>
      <c r="H76" s="15">
        <f t="shared" si="2"/>
        <v>0</v>
      </c>
      <c r="I76" s="15">
        <f t="shared" si="3"/>
        <v>0</v>
      </c>
      <c r="J76" s="18">
        <f>Output!F75</f>
        <v>0</v>
      </c>
      <c r="K76" s="18">
        <f>Output!G75</f>
        <v>0</v>
      </c>
    </row>
    <row r="77" spans="1:11" ht="18" customHeight="1" x14ac:dyDescent="0.25">
      <c r="A77" s="15">
        <f>Output!A76</f>
        <v>0</v>
      </c>
      <c r="B77" s="15">
        <f>Output!B76</f>
        <v>0</v>
      </c>
      <c r="C77" s="15" t="str">
        <f>IFERROR(INT(Output!C76)&amp;" "&amp;IF(MROUND((Output!C76-INT(Output!C76)),1/8)=0,"",VLOOKUP(MROUND((Output!C76-INT(Output!C76)),1/8),fract[],2,FALSE))&amp;"''","")</f>
        <v>0 ''</v>
      </c>
      <c r="D77" s="15" t="str">
        <f>IFERROR(ROUND(INT(Output!D76)/12,0)&amp;"'-"&amp;INT((Output!D76/12-INT(Output!D76/12))*12)&amp;" "&amp;IF(MROUND((Output!D76/12-INT(Output!D76/12))*12-INT((Output!D76/12-INT(Output!D76/12))*12),1/8)=0,"",VLOOKUP(MROUND((Output!D76/12-INT(Output!D76/12))*12-INT((Output!D76/12-INT(Output!D76/12))*12),1/8),fract[],2,FALSE))&amp;"''","")</f>
        <v>0'-0 ''</v>
      </c>
      <c r="E77" s="15" t="str">
        <f>IFERROR(INT(Output!E76)&amp;" "&amp;IF(MROUND((Output!E76-INT(Output!E76)),1/8)=0,"",VLOOKUP(MROUND((Output!E76-INT(Output!E76)),1/8),fract[],2,FALSE))&amp;"''","")</f>
        <v>0 ''</v>
      </c>
      <c r="F77" s="14"/>
      <c r="G77" s="14"/>
      <c r="H77" s="15">
        <f t="shared" si="2"/>
        <v>0</v>
      </c>
      <c r="I77" s="15">
        <f t="shared" si="3"/>
        <v>0</v>
      </c>
      <c r="J77" s="18">
        <f>Output!F76</f>
        <v>0</v>
      </c>
      <c r="K77" s="18">
        <f>Output!G76</f>
        <v>0</v>
      </c>
    </row>
    <row r="78" spans="1:11" ht="18" customHeight="1" x14ac:dyDescent="0.25">
      <c r="A78" s="15">
        <f>Output!A77</f>
        <v>0</v>
      </c>
      <c r="B78" s="15">
        <f>Output!B77</f>
        <v>0</v>
      </c>
      <c r="C78" s="15" t="str">
        <f>IFERROR(INT(Output!C77)&amp;" "&amp;IF(MROUND((Output!C77-INT(Output!C77)),1/8)=0,"",VLOOKUP(MROUND((Output!C77-INT(Output!C77)),1/8),fract[],2,FALSE))&amp;"''","")</f>
        <v>0 ''</v>
      </c>
      <c r="D78" s="15" t="str">
        <f>IFERROR(ROUND(INT(Output!D77)/12,0)&amp;"'-"&amp;INT((Output!D77/12-INT(Output!D77/12))*12)&amp;" "&amp;IF(MROUND((Output!D77/12-INT(Output!D77/12))*12-INT((Output!D77/12-INT(Output!D77/12))*12),1/8)=0,"",VLOOKUP(MROUND((Output!D77/12-INT(Output!D77/12))*12-INT((Output!D77/12-INT(Output!D77/12))*12),1/8),fract[],2,FALSE))&amp;"''","")</f>
        <v>0'-0 ''</v>
      </c>
      <c r="E78" s="15" t="str">
        <f>IFERROR(INT(Output!E77)&amp;" "&amp;IF(MROUND((Output!E77-INT(Output!E77)),1/8)=0,"",VLOOKUP(MROUND((Output!E77-INT(Output!E77)),1/8),fract[],2,FALSE))&amp;"''","")</f>
        <v>0 ''</v>
      </c>
      <c r="F78" s="14"/>
      <c r="G78" s="14"/>
      <c r="H78" s="15">
        <f t="shared" si="2"/>
        <v>0</v>
      </c>
      <c r="I78" s="15">
        <f t="shared" si="3"/>
        <v>0</v>
      </c>
      <c r="J78" s="18">
        <f>Output!F77</f>
        <v>0</v>
      </c>
      <c r="K78" s="18">
        <f>Output!G77</f>
        <v>0</v>
      </c>
    </row>
    <row r="79" spans="1:11" ht="18" customHeight="1" x14ac:dyDescent="0.25">
      <c r="A79" s="15">
        <f>Output!A78</f>
        <v>0</v>
      </c>
      <c r="B79" s="15">
        <f>Output!B78</f>
        <v>0</v>
      </c>
      <c r="C79" s="15" t="str">
        <f>IFERROR(INT(Output!C78)&amp;" "&amp;IF(MROUND((Output!C78-INT(Output!C78)),1/8)=0,"",VLOOKUP(MROUND((Output!C78-INT(Output!C78)),1/8),fract[],2,FALSE))&amp;"''","")</f>
        <v>0 ''</v>
      </c>
      <c r="D79" s="15" t="str">
        <f>IFERROR(ROUND(INT(Output!D78)/12,0)&amp;"'-"&amp;INT((Output!D78/12-INT(Output!D78/12))*12)&amp;" "&amp;IF(MROUND((Output!D78/12-INT(Output!D78/12))*12-INT((Output!D78/12-INT(Output!D78/12))*12),1/8)=0,"",VLOOKUP(MROUND((Output!D78/12-INT(Output!D78/12))*12-INT((Output!D78/12-INT(Output!D78/12))*12),1/8),fract[],2,FALSE))&amp;"''","")</f>
        <v>0'-0 ''</v>
      </c>
      <c r="E79" s="15" t="str">
        <f>IFERROR(INT(Output!E78)&amp;" "&amp;IF(MROUND((Output!E78-INT(Output!E78)),1/8)=0,"",VLOOKUP(MROUND((Output!E78-INT(Output!E78)),1/8),fract[],2,FALSE))&amp;"''","")</f>
        <v>0 ''</v>
      </c>
      <c r="F79" s="14"/>
      <c r="G79" s="14"/>
      <c r="H79" s="15">
        <f t="shared" si="2"/>
        <v>0</v>
      </c>
      <c r="I79" s="15">
        <f t="shared" si="3"/>
        <v>0</v>
      </c>
      <c r="J79" s="18">
        <f>Output!F78</f>
        <v>0</v>
      </c>
      <c r="K79" s="18">
        <f>Output!G78</f>
        <v>0</v>
      </c>
    </row>
    <row r="80" spans="1:11" ht="18" customHeight="1" x14ac:dyDescent="0.25">
      <c r="A80" s="15">
        <f>Output!A79</f>
        <v>0</v>
      </c>
      <c r="B80" s="15">
        <f>Output!B79</f>
        <v>0</v>
      </c>
      <c r="C80" s="15" t="str">
        <f>IFERROR(INT(Output!C79)&amp;" "&amp;IF(MROUND((Output!C79-INT(Output!C79)),1/8)=0,"",VLOOKUP(MROUND((Output!C79-INT(Output!C79)),1/8),fract[],2,FALSE))&amp;"''","")</f>
        <v>0 ''</v>
      </c>
      <c r="D80" s="15" t="str">
        <f>IFERROR(ROUND(INT(Output!D79)/12,0)&amp;"'-"&amp;INT((Output!D79/12-INT(Output!D79/12))*12)&amp;" "&amp;IF(MROUND((Output!D79/12-INT(Output!D79/12))*12-INT((Output!D79/12-INT(Output!D79/12))*12),1/8)=0,"",VLOOKUP(MROUND((Output!D79/12-INT(Output!D79/12))*12-INT((Output!D79/12-INT(Output!D79/12))*12),1/8),fract[],2,FALSE))&amp;"''","")</f>
        <v>0'-0 ''</v>
      </c>
      <c r="E80" s="15" t="str">
        <f>IFERROR(INT(Output!E79)&amp;" "&amp;IF(MROUND((Output!E79-INT(Output!E79)),1/8)=0,"",VLOOKUP(MROUND((Output!E79-INT(Output!E79)),1/8),fract[],2,FALSE))&amp;"''","")</f>
        <v>0 ''</v>
      </c>
      <c r="F80" s="14"/>
      <c r="G80" s="14"/>
      <c r="H80" s="15">
        <f t="shared" si="2"/>
        <v>0</v>
      </c>
      <c r="I80" s="15">
        <f t="shared" si="3"/>
        <v>0</v>
      </c>
      <c r="J80" s="18">
        <f>Output!F79</f>
        <v>0</v>
      </c>
      <c r="K80" s="18">
        <f>Output!G79</f>
        <v>0</v>
      </c>
    </row>
    <row r="81" spans="1:11" ht="18" customHeight="1" x14ac:dyDescent="0.25">
      <c r="A81" s="15">
        <f>Output!A80</f>
        <v>0</v>
      </c>
      <c r="B81" s="15">
        <f>Output!B80</f>
        <v>0</v>
      </c>
      <c r="C81" s="15" t="str">
        <f>IFERROR(INT(Output!C80)&amp;" "&amp;IF(MROUND((Output!C80-INT(Output!C80)),1/8)=0,"",VLOOKUP(MROUND((Output!C80-INT(Output!C80)),1/8),fract[],2,FALSE))&amp;"''","")</f>
        <v>0 ''</v>
      </c>
      <c r="D81" s="15" t="str">
        <f>IFERROR(ROUND(INT(Output!D80)/12,0)&amp;"'-"&amp;INT((Output!D80/12-INT(Output!D80/12))*12)&amp;" "&amp;IF(MROUND((Output!D80/12-INT(Output!D80/12))*12-INT((Output!D80/12-INT(Output!D80/12))*12),1/8)=0,"",VLOOKUP(MROUND((Output!D80/12-INT(Output!D80/12))*12-INT((Output!D80/12-INT(Output!D80/12))*12),1/8),fract[],2,FALSE))&amp;"''","")</f>
        <v>0'-0 ''</v>
      </c>
      <c r="E81" s="15" t="str">
        <f>IFERROR(INT(Output!E80)&amp;" "&amp;IF(MROUND((Output!E80-INT(Output!E80)),1/8)=0,"",VLOOKUP(MROUND((Output!E80-INT(Output!E80)),1/8),fract[],2,FALSE))&amp;"''","")</f>
        <v>0 ''</v>
      </c>
      <c r="F81" s="14"/>
      <c r="G81" s="14"/>
      <c r="H81" s="15">
        <f t="shared" si="2"/>
        <v>0</v>
      </c>
      <c r="I81" s="15">
        <f t="shared" si="3"/>
        <v>0</v>
      </c>
      <c r="J81" s="18">
        <f>Output!F80</f>
        <v>0</v>
      </c>
      <c r="K81" s="18">
        <f>Output!G80</f>
        <v>0</v>
      </c>
    </row>
    <row r="82" spans="1:11" ht="18" customHeight="1" x14ac:dyDescent="0.25">
      <c r="A82" s="15">
        <f>Output!A81</f>
        <v>0</v>
      </c>
      <c r="B82" s="15">
        <f>Output!B81</f>
        <v>0</v>
      </c>
      <c r="C82" s="15" t="str">
        <f>IFERROR(INT(Output!C81)&amp;" "&amp;IF(MROUND((Output!C81-INT(Output!C81)),1/8)=0,"",VLOOKUP(MROUND((Output!C81-INT(Output!C81)),1/8),fract[],2,FALSE))&amp;"''","")</f>
        <v>0 ''</v>
      </c>
      <c r="D82" s="15" t="str">
        <f>IFERROR(ROUND(INT(Output!D81)/12,0)&amp;"'-"&amp;INT((Output!D81/12-INT(Output!D81/12))*12)&amp;" "&amp;IF(MROUND((Output!D81/12-INT(Output!D81/12))*12-INT((Output!D81/12-INT(Output!D81/12))*12),1/8)=0,"",VLOOKUP(MROUND((Output!D81/12-INT(Output!D81/12))*12-INT((Output!D81/12-INT(Output!D81/12))*12),1/8),fract[],2,FALSE))&amp;"''","")</f>
        <v>0'-0 ''</v>
      </c>
      <c r="E82" s="15" t="str">
        <f>IFERROR(INT(Output!E81)&amp;" "&amp;IF(MROUND((Output!E81-INT(Output!E81)),1/8)=0,"",VLOOKUP(MROUND((Output!E81-INT(Output!E81)),1/8),fract[],2,FALSE))&amp;"''","")</f>
        <v>0 ''</v>
      </c>
      <c r="F82" s="14"/>
      <c r="G82" s="14"/>
      <c r="H82" s="15">
        <f t="shared" si="2"/>
        <v>0</v>
      </c>
      <c r="I82" s="15">
        <f t="shared" si="3"/>
        <v>0</v>
      </c>
      <c r="J82" s="18">
        <f>Output!F81</f>
        <v>0</v>
      </c>
      <c r="K82" s="18">
        <f>Output!G81</f>
        <v>0</v>
      </c>
    </row>
    <row r="83" spans="1:11" ht="18" customHeight="1" x14ac:dyDescent="0.25">
      <c r="A83" s="15">
        <f>Output!A82</f>
        <v>0</v>
      </c>
      <c r="B83" s="15">
        <f>Output!B82</f>
        <v>0</v>
      </c>
      <c r="C83" s="15" t="str">
        <f>IFERROR(INT(Output!C82)&amp;" "&amp;IF(MROUND((Output!C82-INT(Output!C82)),1/8)=0,"",VLOOKUP(MROUND((Output!C82-INT(Output!C82)),1/8),fract[],2,FALSE))&amp;"''","")</f>
        <v>0 ''</v>
      </c>
      <c r="D83" s="15" t="str">
        <f>IFERROR(ROUND(INT(Output!D82)/12,0)&amp;"'-"&amp;INT((Output!D82/12-INT(Output!D82/12))*12)&amp;" "&amp;IF(MROUND((Output!D82/12-INT(Output!D82/12))*12-INT((Output!D82/12-INT(Output!D82/12))*12),1/8)=0,"",VLOOKUP(MROUND((Output!D82/12-INT(Output!D82/12))*12-INT((Output!D82/12-INT(Output!D82/12))*12),1/8),fract[],2,FALSE))&amp;"''","")</f>
        <v>0'-0 ''</v>
      </c>
      <c r="E83" s="15" t="str">
        <f>IFERROR(INT(Output!E82)&amp;" "&amp;IF(MROUND((Output!E82-INT(Output!E82)),1/8)=0,"",VLOOKUP(MROUND((Output!E82-INT(Output!E82)),1/8),fract[],2,FALSE))&amp;"''","")</f>
        <v>0 ''</v>
      </c>
      <c r="F83" s="14"/>
      <c r="G83" s="14"/>
      <c r="H83" s="15">
        <f t="shared" si="2"/>
        <v>0</v>
      </c>
      <c r="I83" s="15">
        <f t="shared" si="3"/>
        <v>0</v>
      </c>
      <c r="J83" s="18">
        <f>Output!F82</f>
        <v>0</v>
      </c>
      <c r="K83" s="18">
        <f>Output!G82</f>
        <v>0</v>
      </c>
    </row>
    <row r="84" spans="1:11" ht="18" customHeight="1" x14ac:dyDescent="0.25">
      <c r="A84" s="15">
        <f>Output!A83</f>
        <v>0</v>
      </c>
      <c r="B84" s="15">
        <f>Output!B83</f>
        <v>0</v>
      </c>
      <c r="C84" s="15" t="str">
        <f>IFERROR(INT(Output!C83)&amp;" "&amp;IF(MROUND((Output!C83-INT(Output!C83)),1/8)=0,"",VLOOKUP(MROUND((Output!C83-INT(Output!C83)),1/8),fract[],2,FALSE))&amp;"''","")</f>
        <v>0 ''</v>
      </c>
      <c r="D84" s="15" t="str">
        <f>IFERROR(ROUND(INT(Output!D83)/12,0)&amp;"'-"&amp;INT((Output!D83/12-INT(Output!D83/12))*12)&amp;" "&amp;IF(MROUND((Output!D83/12-INT(Output!D83/12))*12-INT((Output!D83/12-INT(Output!D83/12))*12),1/8)=0,"",VLOOKUP(MROUND((Output!D83/12-INT(Output!D83/12))*12-INT((Output!D83/12-INT(Output!D83/12))*12),1/8),fract[],2,FALSE))&amp;"''","")</f>
        <v>0'-0 ''</v>
      </c>
      <c r="E84" s="15" t="str">
        <f>IFERROR(INT(Output!E83)&amp;" "&amp;IF(MROUND((Output!E83-INT(Output!E83)),1/8)=0,"",VLOOKUP(MROUND((Output!E83-INT(Output!E83)),1/8),fract[],2,FALSE))&amp;"''","")</f>
        <v>0 ''</v>
      </c>
      <c r="F84" s="14"/>
      <c r="G84" s="14"/>
      <c r="H84" s="15">
        <f t="shared" si="2"/>
        <v>0</v>
      </c>
      <c r="I84" s="15">
        <f t="shared" si="3"/>
        <v>0</v>
      </c>
      <c r="J84" s="18">
        <f>Output!F83</f>
        <v>0</v>
      </c>
      <c r="K84" s="18">
        <f>Output!G83</f>
        <v>0</v>
      </c>
    </row>
    <row r="85" spans="1:11" ht="18" customHeight="1" x14ac:dyDescent="0.25">
      <c r="A85" s="15">
        <f>Output!A84</f>
        <v>0</v>
      </c>
      <c r="B85" s="15">
        <f>Output!B84</f>
        <v>0</v>
      </c>
      <c r="C85" s="15" t="str">
        <f>IFERROR(INT(Output!C84)&amp;" "&amp;IF(MROUND((Output!C84-INT(Output!C84)),1/8)=0,"",VLOOKUP(MROUND((Output!C84-INT(Output!C84)),1/8),fract[],2,FALSE))&amp;"''","")</f>
        <v>0 ''</v>
      </c>
      <c r="D85" s="15" t="str">
        <f>IFERROR(ROUND(INT(Output!D84)/12,0)&amp;"'-"&amp;INT((Output!D84/12-INT(Output!D84/12))*12)&amp;" "&amp;IF(MROUND((Output!D84/12-INT(Output!D84/12))*12-INT((Output!D84/12-INT(Output!D84/12))*12),1/8)=0,"",VLOOKUP(MROUND((Output!D84/12-INT(Output!D84/12))*12-INT((Output!D84/12-INT(Output!D84/12))*12),1/8),fract[],2,FALSE))&amp;"''","")</f>
        <v>0'-0 ''</v>
      </c>
      <c r="E85" s="15" t="str">
        <f>IFERROR(INT(Output!E84)&amp;" "&amp;IF(MROUND((Output!E84-INT(Output!E84)),1/8)=0,"",VLOOKUP(MROUND((Output!E84-INT(Output!E84)),1/8),fract[],2,FALSE))&amp;"''","")</f>
        <v>0 ''</v>
      </c>
      <c r="F85" s="14"/>
      <c r="G85" s="14"/>
      <c r="H85" s="15">
        <f t="shared" si="2"/>
        <v>0</v>
      </c>
      <c r="I85" s="15">
        <f t="shared" si="3"/>
        <v>0</v>
      </c>
      <c r="J85" s="18">
        <f>Output!F84</f>
        <v>0</v>
      </c>
      <c r="K85" s="18">
        <f>Output!G84</f>
        <v>0</v>
      </c>
    </row>
    <row r="86" spans="1:11" ht="18" customHeight="1" x14ac:dyDescent="0.25">
      <c r="A86" s="15">
        <f>Output!A85</f>
        <v>0</v>
      </c>
      <c r="B86" s="15">
        <f>Output!B85</f>
        <v>0</v>
      </c>
      <c r="C86" s="15" t="str">
        <f>IFERROR(INT(Output!C85)&amp;" "&amp;IF(MROUND((Output!C85-INT(Output!C85)),1/8)=0,"",VLOOKUP(MROUND((Output!C85-INT(Output!C85)),1/8),fract[],2,FALSE))&amp;"''","")</f>
        <v>0 ''</v>
      </c>
      <c r="D86" s="15" t="str">
        <f>IFERROR(ROUND(INT(Output!D85)/12,0)&amp;"'-"&amp;INT((Output!D85/12-INT(Output!D85/12))*12)&amp;" "&amp;IF(MROUND((Output!D85/12-INT(Output!D85/12))*12-INT((Output!D85/12-INT(Output!D85/12))*12),1/8)=0,"",VLOOKUP(MROUND((Output!D85/12-INT(Output!D85/12))*12-INT((Output!D85/12-INT(Output!D85/12))*12),1/8),fract[],2,FALSE))&amp;"''","")</f>
        <v>0'-0 ''</v>
      </c>
      <c r="E86" s="15" t="str">
        <f>IFERROR(INT(Output!E85)&amp;" "&amp;IF(MROUND((Output!E85-INT(Output!E85)),1/8)=0,"",VLOOKUP(MROUND((Output!E85-INT(Output!E85)),1/8),fract[],2,FALSE))&amp;"''","")</f>
        <v>0 ''</v>
      </c>
      <c r="F86" s="14"/>
      <c r="G86" s="14"/>
      <c r="H86" s="15">
        <f t="shared" si="2"/>
        <v>0</v>
      </c>
      <c r="I86" s="15">
        <f t="shared" si="3"/>
        <v>0</v>
      </c>
      <c r="J86" s="18">
        <f>Output!F85</f>
        <v>0</v>
      </c>
      <c r="K86" s="18">
        <f>Output!G85</f>
        <v>0</v>
      </c>
    </row>
    <row r="87" spans="1:11" ht="18" customHeight="1" x14ac:dyDescent="0.25">
      <c r="A87" s="15">
        <f>Output!A86</f>
        <v>0</v>
      </c>
      <c r="B87" s="15">
        <f>Output!B86</f>
        <v>0</v>
      </c>
      <c r="C87" s="15" t="str">
        <f>IFERROR(INT(Output!C86)&amp;" "&amp;IF(MROUND((Output!C86-INT(Output!C86)),1/8)=0,"",VLOOKUP(MROUND((Output!C86-INT(Output!C86)),1/8),fract[],2,FALSE))&amp;"''","")</f>
        <v>0 ''</v>
      </c>
      <c r="D87" s="15" t="str">
        <f>IFERROR(ROUND(INT(Output!D86)/12,0)&amp;"'-"&amp;INT((Output!D86/12-INT(Output!D86/12))*12)&amp;" "&amp;IF(MROUND((Output!D86/12-INT(Output!D86/12))*12-INT((Output!D86/12-INT(Output!D86/12))*12),1/8)=0,"",VLOOKUP(MROUND((Output!D86/12-INT(Output!D86/12))*12-INT((Output!D86/12-INT(Output!D86/12))*12),1/8),fract[],2,FALSE))&amp;"''","")</f>
        <v>0'-0 ''</v>
      </c>
      <c r="E87" s="15" t="str">
        <f>IFERROR(INT(Output!E86)&amp;" "&amp;IF(MROUND((Output!E86-INT(Output!E86)),1/8)=0,"",VLOOKUP(MROUND((Output!E86-INT(Output!E86)),1/8),fract[],2,FALSE))&amp;"''","")</f>
        <v>0 ''</v>
      </c>
      <c r="F87" s="14"/>
      <c r="G87" s="14"/>
      <c r="H87" s="15">
        <f t="shared" si="2"/>
        <v>0</v>
      </c>
      <c r="I87" s="15">
        <f t="shared" si="3"/>
        <v>0</v>
      </c>
      <c r="J87" s="18">
        <f>Output!F86</f>
        <v>0</v>
      </c>
      <c r="K87" s="18">
        <f>Output!G86</f>
        <v>0</v>
      </c>
    </row>
    <row r="88" spans="1:11" ht="18" customHeight="1" x14ac:dyDescent="0.25">
      <c r="A88" s="15">
        <f>Output!A87</f>
        <v>0</v>
      </c>
      <c r="B88" s="15">
        <f>Output!B87</f>
        <v>0</v>
      </c>
      <c r="C88" s="15" t="str">
        <f>IFERROR(INT(Output!C87)&amp;" "&amp;IF(MROUND((Output!C87-INT(Output!C87)),1/8)=0,"",VLOOKUP(MROUND((Output!C87-INT(Output!C87)),1/8),fract[],2,FALSE))&amp;"''","")</f>
        <v>0 ''</v>
      </c>
      <c r="D88" s="15" t="str">
        <f>IFERROR(ROUND(INT(Output!D87)/12,0)&amp;"'-"&amp;INT((Output!D87/12-INT(Output!D87/12))*12)&amp;" "&amp;IF(MROUND((Output!D87/12-INT(Output!D87/12))*12-INT((Output!D87/12-INT(Output!D87/12))*12),1/8)=0,"",VLOOKUP(MROUND((Output!D87/12-INT(Output!D87/12))*12-INT((Output!D87/12-INT(Output!D87/12))*12),1/8),fract[],2,FALSE))&amp;"''","")</f>
        <v>0'-0 ''</v>
      </c>
      <c r="E88" s="15" t="str">
        <f>IFERROR(INT(Output!E87)&amp;" "&amp;IF(MROUND((Output!E87-INT(Output!E87)),1/8)=0,"",VLOOKUP(MROUND((Output!E87-INT(Output!E87)),1/8),fract[],2,FALSE))&amp;"''","")</f>
        <v>0 ''</v>
      </c>
      <c r="F88" s="14"/>
      <c r="G88" s="14"/>
      <c r="H88" s="15">
        <f t="shared" si="2"/>
        <v>0</v>
      </c>
      <c r="I88" s="15">
        <f t="shared" si="3"/>
        <v>0</v>
      </c>
      <c r="J88" s="18">
        <f>Output!F87</f>
        <v>0</v>
      </c>
      <c r="K88" s="18">
        <f>Output!G87</f>
        <v>0</v>
      </c>
    </row>
    <row r="89" spans="1:11" ht="18" customHeight="1" x14ac:dyDescent="0.25">
      <c r="A89" s="15">
        <f>Output!A88</f>
        <v>0</v>
      </c>
      <c r="B89" s="15">
        <f>Output!B88</f>
        <v>0</v>
      </c>
      <c r="C89" s="15" t="str">
        <f>IFERROR(INT(Output!C88)&amp;" "&amp;IF(MROUND((Output!C88-INT(Output!C88)),1/8)=0,"",VLOOKUP(MROUND((Output!C88-INT(Output!C88)),1/8),fract[],2,FALSE))&amp;"''","")</f>
        <v>0 ''</v>
      </c>
      <c r="D89" s="15" t="str">
        <f>IFERROR(ROUND(INT(Output!D88)/12,0)&amp;"'-"&amp;INT((Output!D88/12-INT(Output!D88/12))*12)&amp;" "&amp;IF(MROUND((Output!D88/12-INT(Output!D88/12))*12-INT((Output!D88/12-INT(Output!D88/12))*12),1/8)=0,"",VLOOKUP(MROUND((Output!D88/12-INT(Output!D88/12))*12-INT((Output!D88/12-INT(Output!D88/12))*12),1/8),fract[],2,FALSE))&amp;"''","")</f>
        <v>0'-0 ''</v>
      </c>
      <c r="E89" s="15" t="str">
        <f>IFERROR(INT(Output!E88)&amp;" "&amp;IF(MROUND((Output!E88-INT(Output!E88)),1/8)=0,"",VLOOKUP(MROUND((Output!E88-INT(Output!E88)),1/8),fract[],2,FALSE))&amp;"''","")</f>
        <v>0 ''</v>
      </c>
      <c r="F89" s="14"/>
      <c r="G89" s="14"/>
      <c r="H89" s="15">
        <f t="shared" si="2"/>
        <v>0</v>
      </c>
      <c r="I89" s="15">
        <f t="shared" si="3"/>
        <v>0</v>
      </c>
      <c r="J89" s="18">
        <f>Output!F88</f>
        <v>0</v>
      </c>
      <c r="K89" s="18">
        <f>Output!G88</f>
        <v>0</v>
      </c>
    </row>
    <row r="90" spans="1:11" ht="18" customHeight="1" x14ac:dyDescent="0.25">
      <c r="A90" s="15">
        <f>Output!A89</f>
        <v>0</v>
      </c>
      <c r="B90" s="15">
        <f>Output!B89</f>
        <v>0</v>
      </c>
      <c r="C90" s="15" t="str">
        <f>IFERROR(INT(Output!C89)&amp;" "&amp;IF(MROUND((Output!C89-INT(Output!C89)),1/8)=0,"",VLOOKUP(MROUND((Output!C89-INT(Output!C89)),1/8),fract[],2,FALSE))&amp;"''","")</f>
        <v>0 ''</v>
      </c>
      <c r="D90" s="15" t="str">
        <f>IFERROR(ROUND(INT(Output!D89)/12,0)&amp;"'-"&amp;INT((Output!D89/12-INT(Output!D89/12))*12)&amp;" "&amp;IF(MROUND((Output!D89/12-INT(Output!D89/12))*12-INT((Output!D89/12-INT(Output!D89/12))*12),1/8)=0,"",VLOOKUP(MROUND((Output!D89/12-INT(Output!D89/12))*12-INT((Output!D89/12-INT(Output!D89/12))*12),1/8),fract[],2,FALSE))&amp;"''","")</f>
        <v>0'-0 ''</v>
      </c>
      <c r="E90" s="15" t="str">
        <f>IFERROR(INT(Output!E89)&amp;" "&amp;IF(MROUND((Output!E89-INT(Output!E89)),1/8)=0,"",VLOOKUP(MROUND((Output!E89-INT(Output!E89)),1/8),fract[],2,FALSE))&amp;"''","")</f>
        <v>0 ''</v>
      </c>
      <c r="F90" s="14"/>
      <c r="G90" s="14"/>
      <c r="H90" s="15">
        <f t="shared" si="2"/>
        <v>0</v>
      </c>
      <c r="I90" s="15">
        <f t="shared" si="3"/>
        <v>0</v>
      </c>
      <c r="J90" s="18">
        <f>Output!F89</f>
        <v>0</v>
      </c>
      <c r="K90" s="18">
        <f>Output!G89</f>
        <v>0</v>
      </c>
    </row>
    <row r="91" spans="1:11" ht="18" customHeight="1" x14ac:dyDescent="0.25">
      <c r="A91" s="15">
        <f>Output!A90</f>
        <v>0</v>
      </c>
      <c r="B91" s="15">
        <f>Output!B90</f>
        <v>0</v>
      </c>
      <c r="C91" s="15" t="str">
        <f>IFERROR(INT(Output!C90)&amp;" "&amp;IF(MROUND((Output!C90-INT(Output!C90)),1/8)=0,"",VLOOKUP(MROUND((Output!C90-INT(Output!C90)),1/8),fract[],2,FALSE))&amp;"''","")</f>
        <v>0 ''</v>
      </c>
      <c r="D91" s="15" t="str">
        <f>IFERROR(ROUND(INT(Output!D90)/12,0)&amp;"'-"&amp;INT((Output!D90/12-INT(Output!D90/12))*12)&amp;" "&amp;IF(MROUND((Output!D90/12-INT(Output!D90/12))*12-INT((Output!D90/12-INT(Output!D90/12))*12),1/8)=0,"",VLOOKUP(MROUND((Output!D90/12-INT(Output!D90/12))*12-INT((Output!D90/12-INT(Output!D90/12))*12),1/8),fract[],2,FALSE))&amp;"''","")</f>
        <v>0'-0 ''</v>
      </c>
      <c r="E91" s="15" t="str">
        <f>IFERROR(INT(Output!E90)&amp;" "&amp;IF(MROUND((Output!E90-INT(Output!E90)),1/8)=0,"",VLOOKUP(MROUND((Output!E90-INT(Output!E90)),1/8),fract[],2,FALSE))&amp;"''","")</f>
        <v>0 ''</v>
      </c>
      <c r="F91" s="14"/>
      <c r="G91" s="14"/>
      <c r="H91" s="15">
        <f t="shared" si="2"/>
        <v>0</v>
      </c>
      <c r="I91" s="15">
        <f t="shared" si="3"/>
        <v>0</v>
      </c>
      <c r="J91" s="18">
        <f>Output!F90</f>
        <v>0</v>
      </c>
      <c r="K91" s="18">
        <f>Output!G90</f>
        <v>0</v>
      </c>
    </row>
    <row r="92" spans="1:11" ht="18" customHeight="1" x14ac:dyDescent="0.25">
      <c r="A92" s="15">
        <f>Output!A91</f>
        <v>0</v>
      </c>
      <c r="B92" s="15">
        <f>Output!B91</f>
        <v>0</v>
      </c>
      <c r="C92" s="15" t="str">
        <f>IFERROR(INT(Output!C91)&amp;" "&amp;IF(MROUND((Output!C91-INT(Output!C91)),1/8)=0,"",VLOOKUP(MROUND((Output!C91-INT(Output!C91)),1/8),fract[],2,FALSE))&amp;"''","")</f>
        <v>0 ''</v>
      </c>
      <c r="D92" s="15" t="str">
        <f>IFERROR(ROUND(INT(Output!D91)/12,0)&amp;"'-"&amp;INT((Output!D91/12-INT(Output!D91/12))*12)&amp;" "&amp;IF(MROUND((Output!D91/12-INT(Output!D91/12))*12-INT((Output!D91/12-INT(Output!D91/12))*12),1/8)=0,"",VLOOKUP(MROUND((Output!D91/12-INT(Output!D91/12))*12-INT((Output!D91/12-INT(Output!D91/12))*12),1/8),fract[],2,FALSE))&amp;"''","")</f>
        <v>0'-0 ''</v>
      </c>
      <c r="E92" s="15" t="str">
        <f>IFERROR(INT(Output!E91)&amp;" "&amp;IF(MROUND((Output!E91-INT(Output!E91)),1/8)=0,"",VLOOKUP(MROUND((Output!E91-INT(Output!E91)),1/8),fract[],2,FALSE))&amp;"''","")</f>
        <v>0 ''</v>
      </c>
      <c r="F92" s="14"/>
      <c r="G92" s="14"/>
      <c r="H92" s="15">
        <f t="shared" si="2"/>
        <v>0</v>
      </c>
      <c r="I92" s="15">
        <f t="shared" si="3"/>
        <v>0</v>
      </c>
      <c r="J92" s="18">
        <f>Output!F91</f>
        <v>0</v>
      </c>
      <c r="K92" s="18">
        <f>Output!G91</f>
        <v>0</v>
      </c>
    </row>
    <row r="93" spans="1:11" ht="18" customHeight="1" x14ac:dyDescent="0.25">
      <c r="A93" s="15">
        <f>Output!A92</f>
        <v>0</v>
      </c>
      <c r="B93" s="15">
        <f>Output!B92</f>
        <v>0</v>
      </c>
      <c r="C93" s="15" t="str">
        <f>IFERROR(INT(Output!C92)&amp;" "&amp;IF(MROUND((Output!C92-INT(Output!C92)),1/8)=0,"",VLOOKUP(MROUND((Output!C92-INT(Output!C92)),1/8),fract[],2,FALSE))&amp;"''","")</f>
        <v>0 ''</v>
      </c>
      <c r="D93" s="15" t="str">
        <f>IFERROR(ROUND(INT(Output!D92)/12,0)&amp;"'-"&amp;INT((Output!D92/12-INT(Output!D92/12))*12)&amp;" "&amp;IF(MROUND((Output!D92/12-INT(Output!D92/12))*12-INT((Output!D92/12-INT(Output!D92/12))*12),1/8)=0,"",VLOOKUP(MROUND((Output!D92/12-INT(Output!D92/12))*12-INT((Output!D92/12-INT(Output!D92/12))*12),1/8),fract[],2,FALSE))&amp;"''","")</f>
        <v>0'-0 ''</v>
      </c>
      <c r="E93" s="15" t="str">
        <f>IFERROR(INT(Output!E92)&amp;" "&amp;IF(MROUND((Output!E92-INT(Output!E92)),1/8)=0,"",VLOOKUP(MROUND((Output!E92-INT(Output!E92)),1/8),fract[],2,FALSE))&amp;"''","")</f>
        <v>0 ''</v>
      </c>
      <c r="F93" s="14"/>
      <c r="G93" s="14"/>
      <c r="H93" s="15">
        <f t="shared" si="2"/>
        <v>0</v>
      </c>
      <c r="I93" s="15">
        <f t="shared" si="3"/>
        <v>0</v>
      </c>
      <c r="J93" s="18">
        <f>Output!F92</f>
        <v>0</v>
      </c>
      <c r="K93" s="18">
        <f>Output!G92</f>
        <v>0</v>
      </c>
    </row>
    <row r="94" spans="1:11" ht="18" customHeight="1" x14ac:dyDescent="0.25">
      <c r="A94" s="15">
        <f>Output!A93</f>
        <v>0</v>
      </c>
      <c r="B94" s="15">
        <f>Output!B93</f>
        <v>0</v>
      </c>
      <c r="C94" s="15" t="str">
        <f>IFERROR(INT(Output!C93)&amp;" "&amp;IF(MROUND((Output!C93-INT(Output!C93)),1/8)=0,"",VLOOKUP(MROUND((Output!C93-INT(Output!C93)),1/8),fract[],2,FALSE))&amp;"''","")</f>
        <v>0 ''</v>
      </c>
      <c r="D94" s="15" t="str">
        <f>IFERROR(ROUND(INT(Output!D93)/12,0)&amp;"'-"&amp;INT((Output!D93/12-INT(Output!D93/12))*12)&amp;" "&amp;IF(MROUND((Output!D93/12-INT(Output!D93/12))*12-INT((Output!D93/12-INT(Output!D93/12))*12),1/8)=0,"",VLOOKUP(MROUND((Output!D93/12-INT(Output!D93/12))*12-INT((Output!D93/12-INT(Output!D93/12))*12),1/8),fract[],2,FALSE))&amp;"''","")</f>
        <v>0'-0 ''</v>
      </c>
      <c r="E94" s="15" t="str">
        <f>IFERROR(INT(Output!E93)&amp;" "&amp;IF(MROUND((Output!E93-INT(Output!E93)),1/8)=0,"",VLOOKUP(MROUND((Output!E93-INT(Output!E93)),1/8),fract[],2,FALSE))&amp;"''","")</f>
        <v>0 ''</v>
      </c>
      <c r="F94" s="14"/>
      <c r="G94" s="14"/>
      <c r="H94" s="15">
        <f t="shared" si="2"/>
        <v>0</v>
      </c>
      <c r="I94" s="15">
        <f t="shared" si="3"/>
        <v>0</v>
      </c>
      <c r="J94" s="18">
        <f>Output!F93</f>
        <v>0</v>
      </c>
      <c r="K94" s="18">
        <f>Output!G93</f>
        <v>0</v>
      </c>
    </row>
    <row r="95" spans="1:11" ht="18" customHeight="1" x14ac:dyDescent="0.25">
      <c r="A95" s="15">
        <f>Output!A94</f>
        <v>0</v>
      </c>
      <c r="B95" s="15">
        <f>Output!B94</f>
        <v>0</v>
      </c>
      <c r="C95" s="15" t="str">
        <f>IFERROR(INT(Output!C94)&amp;" "&amp;IF(MROUND((Output!C94-INT(Output!C94)),1/8)=0,"",VLOOKUP(MROUND((Output!C94-INT(Output!C94)),1/8),fract[],2,FALSE))&amp;"''","")</f>
        <v>0 ''</v>
      </c>
      <c r="D95" s="15" t="str">
        <f>IFERROR(ROUND(INT(Output!D94)/12,0)&amp;"'-"&amp;INT((Output!D94/12-INT(Output!D94/12))*12)&amp;" "&amp;IF(MROUND((Output!D94/12-INT(Output!D94/12))*12-INT((Output!D94/12-INT(Output!D94/12))*12),1/8)=0,"",VLOOKUP(MROUND((Output!D94/12-INT(Output!D94/12))*12-INT((Output!D94/12-INT(Output!D94/12))*12),1/8),fract[],2,FALSE))&amp;"''","")</f>
        <v>0'-0 ''</v>
      </c>
      <c r="E95" s="15" t="str">
        <f>IFERROR(INT(Output!E94)&amp;" "&amp;IF(MROUND((Output!E94-INT(Output!E94)),1/8)=0,"",VLOOKUP(MROUND((Output!E94-INT(Output!E94)),1/8),fract[],2,FALSE))&amp;"''","")</f>
        <v>0 ''</v>
      </c>
      <c r="F95" s="14"/>
      <c r="G95" s="14"/>
      <c r="H95" s="15">
        <f t="shared" si="2"/>
        <v>0</v>
      </c>
      <c r="I95" s="15">
        <f t="shared" si="3"/>
        <v>0</v>
      </c>
      <c r="J95" s="18">
        <f>Output!F94</f>
        <v>0</v>
      </c>
      <c r="K95" s="18">
        <f>Output!G94</f>
        <v>0</v>
      </c>
    </row>
    <row r="96" spans="1:11" ht="18" customHeight="1" x14ac:dyDescent="0.25">
      <c r="A96" s="15">
        <f>Output!A95</f>
        <v>0</v>
      </c>
      <c r="B96" s="15">
        <f>Output!B95</f>
        <v>0</v>
      </c>
      <c r="C96" s="15" t="str">
        <f>IFERROR(INT(Output!C95)&amp;" "&amp;IF(MROUND((Output!C95-INT(Output!C95)),1/8)=0,"",VLOOKUP(MROUND((Output!C95-INT(Output!C95)),1/8),fract[],2,FALSE))&amp;"''","")</f>
        <v>0 ''</v>
      </c>
      <c r="D96" s="15" t="str">
        <f>IFERROR(ROUND(INT(Output!D95)/12,0)&amp;"'-"&amp;INT((Output!D95/12-INT(Output!D95/12))*12)&amp;" "&amp;IF(MROUND((Output!D95/12-INT(Output!D95/12))*12-INT((Output!D95/12-INT(Output!D95/12))*12),1/8)=0,"",VLOOKUP(MROUND((Output!D95/12-INT(Output!D95/12))*12-INT((Output!D95/12-INT(Output!D95/12))*12),1/8),fract[],2,FALSE))&amp;"''","")</f>
        <v>0'-0 ''</v>
      </c>
      <c r="E96" s="15" t="str">
        <f>IFERROR(INT(Output!E95)&amp;" "&amp;IF(MROUND((Output!E95-INT(Output!E95)),1/8)=0,"",VLOOKUP(MROUND((Output!E95-INT(Output!E95)),1/8),fract[],2,FALSE))&amp;"''","")</f>
        <v>0 ''</v>
      </c>
      <c r="F96" s="14"/>
      <c r="G96" s="14"/>
      <c r="H96" s="15">
        <f t="shared" si="2"/>
        <v>0</v>
      </c>
      <c r="I96" s="15">
        <f t="shared" si="3"/>
        <v>0</v>
      </c>
      <c r="J96" s="18">
        <f>Output!F95</f>
        <v>0</v>
      </c>
      <c r="K96" s="18">
        <f>Output!G95</f>
        <v>0</v>
      </c>
    </row>
    <row r="97" spans="1:11" ht="18" customHeight="1" x14ac:dyDescent="0.25">
      <c r="A97" s="15">
        <f>Output!A96</f>
        <v>0</v>
      </c>
      <c r="B97" s="15">
        <f>Output!B96</f>
        <v>0</v>
      </c>
      <c r="C97" s="15" t="str">
        <f>IFERROR(INT(Output!C96)&amp;" "&amp;IF(MROUND((Output!C96-INT(Output!C96)),1/8)=0,"",VLOOKUP(MROUND((Output!C96-INT(Output!C96)),1/8),fract[],2,FALSE))&amp;"''","")</f>
        <v>0 ''</v>
      </c>
      <c r="D97" s="15" t="str">
        <f>IFERROR(ROUND(INT(Output!D96)/12,0)&amp;"'-"&amp;INT((Output!D96/12-INT(Output!D96/12))*12)&amp;" "&amp;IF(MROUND((Output!D96/12-INT(Output!D96/12))*12-INT((Output!D96/12-INT(Output!D96/12))*12),1/8)=0,"",VLOOKUP(MROUND((Output!D96/12-INT(Output!D96/12))*12-INT((Output!D96/12-INT(Output!D96/12))*12),1/8),fract[],2,FALSE))&amp;"''","")</f>
        <v>0'-0 ''</v>
      </c>
      <c r="E97" s="15" t="str">
        <f>IFERROR(INT(Output!E96)&amp;" "&amp;IF(MROUND((Output!E96-INT(Output!E96)),1/8)=0,"",VLOOKUP(MROUND((Output!E96-INT(Output!E96)),1/8),fract[],2,FALSE))&amp;"''","")</f>
        <v>0 ''</v>
      </c>
      <c r="F97" s="14"/>
      <c r="G97" s="14"/>
      <c r="H97" s="15">
        <f t="shared" si="2"/>
        <v>0</v>
      </c>
      <c r="I97" s="15">
        <f t="shared" si="3"/>
        <v>0</v>
      </c>
      <c r="J97" s="18">
        <f>Output!F96</f>
        <v>0</v>
      </c>
      <c r="K97" s="18">
        <f>Output!G96</f>
        <v>0</v>
      </c>
    </row>
    <row r="98" spans="1:11" ht="18" customHeight="1" x14ac:dyDescent="0.25">
      <c r="A98" s="15">
        <f>Output!A97</f>
        <v>0</v>
      </c>
      <c r="B98" s="15">
        <f>Output!B97</f>
        <v>0</v>
      </c>
      <c r="C98" s="15" t="str">
        <f>IFERROR(INT(Output!C97)&amp;" "&amp;IF(MROUND((Output!C97-INT(Output!C97)),1/8)=0,"",VLOOKUP(MROUND((Output!C97-INT(Output!C97)),1/8),fract[],2,FALSE))&amp;"''","")</f>
        <v>0 ''</v>
      </c>
      <c r="D98" s="15" t="str">
        <f>IFERROR(ROUND(INT(Output!D97)/12,0)&amp;"'-"&amp;INT((Output!D97/12-INT(Output!D97/12))*12)&amp;" "&amp;IF(MROUND((Output!D97/12-INT(Output!D97/12))*12-INT((Output!D97/12-INT(Output!D97/12))*12),1/8)=0,"",VLOOKUP(MROUND((Output!D97/12-INT(Output!D97/12))*12-INT((Output!D97/12-INT(Output!D97/12))*12),1/8),fract[],2,FALSE))&amp;"''","")</f>
        <v>0'-0 ''</v>
      </c>
      <c r="E98" s="15" t="str">
        <f>IFERROR(INT(Output!E97)&amp;" "&amp;IF(MROUND((Output!E97-INT(Output!E97)),1/8)=0,"",VLOOKUP(MROUND((Output!E97-INT(Output!E97)),1/8),fract[],2,FALSE))&amp;"''","")</f>
        <v>0 ''</v>
      </c>
      <c r="F98" s="14"/>
      <c r="G98" s="14"/>
      <c r="H98" s="15">
        <f t="shared" si="2"/>
        <v>0</v>
      </c>
      <c r="I98" s="15">
        <f t="shared" si="3"/>
        <v>0</v>
      </c>
      <c r="J98" s="18">
        <f>Output!F97</f>
        <v>0</v>
      </c>
      <c r="K98" s="18">
        <f>Output!G97</f>
        <v>0</v>
      </c>
    </row>
    <row r="99" spans="1:11" ht="18" customHeight="1" x14ac:dyDescent="0.25">
      <c r="A99" s="15">
        <f>Output!A98</f>
        <v>0</v>
      </c>
      <c r="B99" s="15">
        <f>Output!B98</f>
        <v>0</v>
      </c>
      <c r="C99" s="15" t="str">
        <f>IFERROR(INT(Output!C98)&amp;" "&amp;IF(MROUND((Output!C98-INT(Output!C98)),1/8)=0,"",VLOOKUP(MROUND((Output!C98-INT(Output!C98)),1/8),fract[],2,FALSE))&amp;"''","")</f>
        <v>0 ''</v>
      </c>
      <c r="D99" s="15" t="str">
        <f>IFERROR(ROUND(INT(Output!D98)/12,0)&amp;"'-"&amp;INT((Output!D98/12-INT(Output!D98/12))*12)&amp;" "&amp;IF(MROUND((Output!D98/12-INT(Output!D98/12))*12-INT((Output!D98/12-INT(Output!D98/12))*12),1/8)=0,"",VLOOKUP(MROUND((Output!D98/12-INT(Output!D98/12))*12-INT((Output!D98/12-INT(Output!D98/12))*12),1/8),fract[],2,FALSE))&amp;"''","")</f>
        <v>0'-0 ''</v>
      </c>
      <c r="E99" s="15" t="str">
        <f>IFERROR(INT(Output!E98)&amp;" "&amp;IF(MROUND((Output!E98-INT(Output!E98)),1/8)=0,"",VLOOKUP(MROUND((Output!E98-INT(Output!E98)),1/8),fract[],2,FALSE))&amp;"''","")</f>
        <v>0 ''</v>
      </c>
      <c r="F99" s="14"/>
      <c r="G99" s="14"/>
      <c r="H99" s="15">
        <f t="shared" si="2"/>
        <v>0</v>
      </c>
      <c r="I99" s="15">
        <f t="shared" si="3"/>
        <v>0</v>
      </c>
      <c r="J99" s="18">
        <f>Output!F98</f>
        <v>0</v>
      </c>
      <c r="K99" s="18">
        <f>Output!G98</f>
        <v>0</v>
      </c>
    </row>
    <row r="100" spans="1:11" ht="18" customHeight="1" x14ac:dyDescent="0.25">
      <c r="A100" s="15">
        <f>Output!A99</f>
        <v>0</v>
      </c>
      <c r="B100" s="15">
        <f>Output!B99</f>
        <v>0</v>
      </c>
      <c r="C100" s="15" t="str">
        <f>IFERROR(INT(Output!C99)&amp;" "&amp;IF(MROUND((Output!C99-INT(Output!C99)),1/8)=0,"",VLOOKUP(MROUND((Output!C99-INT(Output!C99)),1/8),fract[],2,FALSE))&amp;"''","")</f>
        <v>0 ''</v>
      </c>
      <c r="D100" s="15" t="str">
        <f>IFERROR(ROUND(INT(Output!D99)/12,0)&amp;"'-"&amp;INT((Output!D99/12-INT(Output!D99/12))*12)&amp;" "&amp;IF(MROUND((Output!D99/12-INT(Output!D99/12))*12-INT((Output!D99/12-INT(Output!D99/12))*12),1/8)=0,"",VLOOKUP(MROUND((Output!D99/12-INT(Output!D99/12))*12-INT((Output!D99/12-INT(Output!D99/12))*12),1/8),fract[],2,FALSE))&amp;"''","")</f>
        <v>0'-0 ''</v>
      </c>
      <c r="E100" s="15" t="str">
        <f>IFERROR(INT(Output!E99)&amp;" "&amp;IF(MROUND((Output!E99-INT(Output!E99)),1/8)=0,"",VLOOKUP(MROUND((Output!E99-INT(Output!E99)),1/8),fract[],2,FALSE))&amp;"''","")</f>
        <v>0 ''</v>
      </c>
      <c r="F100" s="14"/>
      <c r="G100" s="14"/>
      <c r="H100" s="15">
        <f t="shared" si="2"/>
        <v>0</v>
      </c>
      <c r="I100" s="15">
        <f t="shared" si="3"/>
        <v>0</v>
      </c>
      <c r="J100" s="18">
        <f>Output!F99</f>
        <v>0</v>
      </c>
      <c r="K100" s="18">
        <f>Output!G99</f>
        <v>0</v>
      </c>
    </row>
    <row r="101" spans="1:11" ht="18" customHeight="1" x14ac:dyDescent="0.25">
      <c r="A101" s="15">
        <f>Output!A100</f>
        <v>0</v>
      </c>
      <c r="B101" s="15">
        <f>Output!B100</f>
        <v>0</v>
      </c>
      <c r="C101" s="15" t="str">
        <f>IFERROR(INT(Output!C100)&amp;" "&amp;IF(MROUND((Output!C100-INT(Output!C100)),1/8)=0,"",VLOOKUP(MROUND((Output!C100-INT(Output!C100)),1/8),fract[],2,FALSE))&amp;"''","")</f>
        <v>0 ''</v>
      </c>
      <c r="D101" s="15" t="str">
        <f>IFERROR(ROUND(INT(Output!D100)/12,0)&amp;"'-"&amp;INT((Output!D100/12-INT(Output!D100/12))*12)&amp;" "&amp;IF(MROUND((Output!D100/12-INT(Output!D100/12))*12-INT((Output!D100/12-INT(Output!D100/12))*12),1/8)=0,"",VLOOKUP(MROUND((Output!D100/12-INT(Output!D100/12))*12-INT((Output!D100/12-INT(Output!D100/12))*12),1/8),fract[],2,FALSE))&amp;"''","")</f>
        <v>0'-0 ''</v>
      </c>
      <c r="E101" s="15" t="str">
        <f>IFERROR(INT(Output!E100)&amp;" "&amp;IF(MROUND((Output!E100-INT(Output!E100)),1/8)=0,"",VLOOKUP(MROUND((Output!E100-INT(Output!E100)),1/8),fract[],2,FALSE))&amp;"''","")</f>
        <v>0 ''</v>
      </c>
      <c r="F101" s="14"/>
      <c r="G101" s="14"/>
      <c r="H101" s="15">
        <f t="shared" si="2"/>
        <v>0</v>
      </c>
      <c r="I101" s="15">
        <f t="shared" si="3"/>
        <v>0</v>
      </c>
      <c r="J101" s="18">
        <f>Output!F100</f>
        <v>0</v>
      </c>
      <c r="K101" s="18">
        <f>Output!G100</f>
        <v>0</v>
      </c>
    </row>
    <row r="102" spans="1:11" ht="18" customHeight="1" x14ac:dyDescent="0.25">
      <c r="A102" s="15">
        <f>Output!A101</f>
        <v>0</v>
      </c>
      <c r="B102" s="15">
        <f>Output!B101</f>
        <v>0</v>
      </c>
      <c r="C102" s="15" t="str">
        <f>IFERROR(INT(Output!C101)&amp;" "&amp;IF(MROUND((Output!C101-INT(Output!C101)),1/8)=0,"",VLOOKUP(MROUND((Output!C101-INT(Output!C101)),1/8),fract[],2,FALSE))&amp;"''","")</f>
        <v>0 ''</v>
      </c>
      <c r="D102" s="15" t="str">
        <f>IFERROR(ROUND(INT(Output!D101)/12,0)&amp;"'-"&amp;INT((Output!D101/12-INT(Output!D101/12))*12)&amp;" "&amp;IF(MROUND((Output!D101/12-INT(Output!D101/12))*12-INT((Output!D101/12-INT(Output!D101/12))*12),1/8)=0,"",VLOOKUP(MROUND((Output!D101/12-INT(Output!D101/12))*12-INT((Output!D101/12-INT(Output!D101/12))*12),1/8),fract[],2,FALSE))&amp;"''","")</f>
        <v>0'-0 ''</v>
      </c>
      <c r="E102" s="15" t="str">
        <f>IFERROR(INT(Output!E101)&amp;" "&amp;IF(MROUND((Output!E101-INT(Output!E101)),1/8)=0,"",VLOOKUP(MROUND((Output!E101-INT(Output!E101)),1/8),fract[],2,FALSE))&amp;"''","")</f>
        <v>0 ''</v>
      </c>
      <c r="F102" s="14"/>
      <c r="G102" s="14"/>
      <c r="H102" s="15">
        <f t="shared" si="2"/>
        <v>0</v>
      </c>
      <c r="I102" s="15">
        <f t="shared" si="3"/>
        <v>0</v>
      </c>
      <c r="J102" s="18">
        <f>Output!F101</f>
        <v>0</v>
      </c>
      <c r="K102" s="18">
        <f>Output!G101</f>
        <v>0</v>
      </c>
    </row>
    <row r="103" spans="1:11" ht="18" customHeight="1" x14ac:dyDescent="0.25">
      <c r="A103" s="15">
        <f>Output!A102</f>
        <v>0</v>
      </c>
      <c r="B103" s="15">
        <f>Output!B102</f>
        <v>0</v>
      </c>
      <c r="C103" s="15" t="str">
        <f>IFERROR(INT(Output!C102)&amp;" "&amp;IF(MROUND((Output!C102-INT(Output!C102)),1/8)=0,"",VLOOKUP(MROUND((Output!C102-INT(Output!C102)),1/8),fract[],2,FALSE))&amp;"''","")</f>
        <v>0 ''</v>
      </c>
      <c r="D103" s="15" t="str">
        <f>IFERROR(ROUND(INT(Output!D102)/12,0)&amp;"'-"&amp;INT((Output!D102/12-INT(Output!D102/12))*12)&amp;" "&amp;IF(MROUND((Output!D102/12-INT(Output!D102/12))*12-INT((Output!D102/12-INT(Output!D102/12))*12),1/8)=0,"",VLOOKUP(MROUND((Output!D102/12-INT(Output!D102/12))*12-INT((Output!D102/12-INT(Output!D102/12))*12),1/8),fract[],2,FALSE))&amp;"''","")</f>
        <v>0'-0 ''</v>
      </c>
      <c r="E103" s="15" t="str">
        <f>IFERROR(INT(Output!E102)&amp;" "&amp;IF(MROUND((Output!E102-INT(Output!E102)),1/8)=0,"",VLOOKUP(MROUND((Output!E102-INT(Output!E102)),1/8),fract[],2,FALSE))&amp;"''","")</f>
        <v>0 ''</v>
      </c>
      <c r="F103" s="14"/>
      <c r="G103" s="14"/>
      <c r="H103" s="15">
        <f t="shared" si="2"/>
        <v>0</v>
      </c>
      <c r="I103" s="15">
        <f t="shared" si="3"/>
        <v>0</v>
      </c>
      <c r="J103" s="18">
        <f>Output!F102</f>
        <v>0</v>
      </c>
      <c r="K103" s="18">
        <f>Output!G102</f>
        <v>0</v>
      </c>
    </row>
    <row r="104" spans="1:11" ht="18" customHeight="1" x14ac:dyDescent="0.25">
      <c r="A104" s="15">
        <f>Output!A103</f>
        <v>0</v>
      </c>
      <c r="B104" s="15">
        <f>Output!B103</f>
        <v>0</v>
      </c>
      <c r="C104" s="15" t="str">
        <f>IFERROR(INT(Output!C103)&amp;" "&amp;IF(MROUND((Output!C103-INT(Output!C103)),1/8)=0,"",VLOOKUP(MROUND((Output!C103-INT(Output!C103)),1/8),fract[],2,FALSE))&amp;"''","")</f>
        <v>0 ''</v>
      </c>
      <c r="D104" s="15" t="str">
        <f>IFERROR(ROUND(INT(Output!D103)/12,0)&amp;"'-"&amp;INT((Output!D103/12-INT(Output!D103/12))*12)&amp;" "&amp;IF(MROUND((Output!D103/12-INT(Output!D103/12))*12-INT((Output!D103/12-INT(Output!D103/12))*12),1/8)=0,"",VLOOKUP(MROUND((Output!D103/12-INT(Output!D103/12))*12-INT((Output!D103/12-INT(Output!D103/12))*12),1/8),fract[],2,FALSE))&amp;"''","")</f>
        <v>0'-0 ''</v>
      </c>
      <c r="E104" s="15" t="str">
        <f>IFERROR(INT(Output!E103)&amp;" "&amp;IF(MROUND((Output!E103-INT(Output!E103)),1/8)=0,"",VLOOKUP(MROUND((Output!E103-INT(Output!E103)),1/8),fract[],2,FALSE))&amp;"''","")</f>
        <v>0 ''</v>
      </c>
      <c r="F104" s="14"/>
      <c r="G104" s="14"/>
      <c r="H104" s="15">
        <f t="shared" si="2"/>
        <v>0</v>
      </c>
      <c r="I104" s="15">
        <f t="shared" si="3"/>
        <v>0</v>
      </c>
      <c r="J104" s="18">
        <f>Output!F103</f>
        <v>0</v>
      </c>
      <c r="K104" s="18">
        <f>Output!G103</f>
        <v>0</v>
      </c>
    </row>
    <row r="105" spans="1:11" ht="18" customHeight="1" x14ac:dyDescent="0.25">
      <c r="A105" s="15">
        <f>Output!A104</f>
        <v>0</v>
      </c>
      <c r="B105" s="15">
        <f>Output!B104</f>
        <v>0</v>
      </c>
      <c r="C105" s="15" t="str">
        <f>IFERROR(INT(Output!C104)&amp;" "&amp;IF(MROUND((Output!C104-INT(Output!C104)),1/8)=0,"",VLOOKUP(MROUND((Output!C104-INT(Output!C104)),1/8),fract[],2,FALSE))&amp;"''","")</f>
        <v>0 ''</v>
      </c>
      <c r="D105" s="15" t="str">
        <f>IFERROR(ROUND(INT(Output!D104)/12,0)&amp;"'-"&amp;INT((Output!D104/12-INT(Output!D104/12))*12)&amp;" "&amp;IF(MROUND((Output!D104/12-INT(Output!D104/12))*12-INT((Output!D104/12-INT(Output!D104/12))*12),1/8)=0,"",VLOOKUP(MROUND((Output!D104/12-INT(Output!D104/12))*12-INT((Output!D104/12-INT(Output!D104/12))*12),1/8),fract[],2,FALSE))&amp;"''","")</f>
        <v>0'-0 ''</v>
      </c>
      <c r="E105" s="15" t="str">
        <f>IFERROR(INT(Output!E104)&amp;" "&amp;IF(MROUND((Output!E104-INT(Output!E104)),1/8)=0,"",VLOOKUP(MROUND((Output!E104-INT(Output!E104)),1/8),fract[],2,FALSE))&amp;"''","")</f>
        <v>0 ''</v>
      </c>
      <c r="F105" s="14"/>
      <c r="G105" s="14"/>
      <c r="H105" s="15">
        <f t="shared" si="2"/>
        <v>0</v>
      </c>
      <c r="I105" s="15">
        <f t="shared" si="3"/>
        <v>0</v>
      </c>
      <c r="J105" s="18">
        <f>Output!F104</f>
        <v>0</v>
      </c>
      <c r="K105" s="18">
        <f>Output!G104</f>
        <v>0</v>
      </c>
    </row>
    <row r="106" spans="1:11" ht="18" customHeight="1" x14ac:dyDescent="0.25">
      <c r="A106" s="15">
        <f>Output!A105</f>
        <v>0</v>
      </c>
      <c r="B106" s="15">
        <f>Output!B105</f>
        <v>0</v>
      </c>
      <c r="C106" s="15" t="str">
        <f>IFERROR(INT(Output!C105)&amp;" "&amp;IF(MROUND((Output!C105-INT(Output!C105)),1/8)=0,"",VLOOKUP(MROUND((Output!C105-INT(Output!C105)),1/8),fract[],2,FALSE))&amp;"''","")</f>
        <v>0 ''</v>
      </c>
      <c r="D106" s="15" t="str">
        <f>IFERROR(ROUND(INT(Output!D105)/12,0)&amp;"'-"&amp;INT((Output!D105/12-INT(Output!D105/12))*12)&amp;" "&amp;IF(MROUND((Output!D105/12-INT(Output!D105/12))*12-INT((Output!D105/12-INT(Output!D105/12))*12),1/8)=0,"",VLOOKUP(MROUND((Output!D105/12-INT(Output!D105/12))*12-INT((Output!D105/12-INT(Output!D105/12))*12),1/8),fract[],2,FALSE))&amp;"''","")</f>
        <v>0'-0 ''</v>
      </c>
      <c r="E106" s="15" t="str">
        <f>IFERROR(INT(Output!E105)&amp;" "&amp;IF(MROUND((Output!E105-INT(Output!E105)),1/8)=0,"",VLOOKUP(MROUND((Output!E105-INT(Output!E105)),1/8),fract[],2,FALSE))&amp;"''","")</f>
        <v>0 ''</v>
      </c>
      <c r="F106" s="14"/>
      <c r="G106" s="14"/>
      <c r="H106" s="15">
        <f t="shared" si="2"/>
        <v>0</v>
      </c>
      <c r="I106" s="15">
        <f t="shared" si="3"/>
        <v>0</v>
      </c>
      <c r="J106" s="18">
        <f>Output!F105</f>
        <v>0</v>
      </c>
      <c r="K106" s="18">
        <f>Output!G105</f>
        <v>0</v>
      </c>
    </row>
    <row r="107" spans="1:11" ht="18" customHeight="1" x14ac:dyDescent="0.25">
      <c r="A107" s="15">
        <f>Output!A106</f>
        <v>0</v>
      </c>
      <c r="B107" s="15">
        <f>Output!B106</f>
        <v>0</v>
      </c>
      <c r="C107" s="15" t="str">
        <f>IFERROR(INT(Output!C106)&amp;" "&amp;IF(MROUND((Output!C106-INT(Output!C106)),1/8)=0,"",VLOOKUP(MROUND((Output!C106-INT(Output!C106)),1/8),fract[],2,FALSE))&amp;"''","")</f>
        <v>0 ''</v>
      </c>
      <c r="D107" s="15" t="str">
        <f>IFERROR(ROUND(INT(Output!D106)/12,0)&amp;"'-"&amp;INT((Output!D106/12-INT(Output!D106/12))*12)&amp;" "&amp;IF(MROUND((Output!D106/12-INT(Output!D106/12))*12-INT((Output!D106/12-INT(Output!D106/12))*12),1/8)=0,"",VLOOKUP(MROUND((Output!D106/12-INT(Output!D106/12))*12-INT((Output!D106/12-INT(Output!D106/12))*12),1/8),fract[],2,FALSE))&amp;"''","")</f>
        <v>0'-0 ''</v>
      </c>
      <c r="E107" s="15" t="str">
        <f>IFERROR(INT(Output!E106)&amp;" "&amp;IF(MROUND((Output!E106-INT(Output!E106)),1/8)=0,"",VLOOKUP(MROUND((Output!E106-INT(Output!E106)),1/8),fract[],2,FALSE))&amp;"''","")</f>
        <v>0 ''</v>
      </c>
      <c r="F107" s="14"/>
      <c r="G107" s="14"/>
      <c r="H107" s="15">
        <f t="shared" si="2"/>
        <v>0</v>
      </c>
      <c r="I107" s="15">
        <f t="shared" si="3"/>
        <v>0</v>
      </c>
      <c r="J107" s="18">
        <f>Output!F106</f>
        <v>0</v>
      </c>
      <c r="K107" s="18">
        <f>Output!G106</f>
        <v>0</v>
      </c>
    </row>
    <row r="108" spans="1:11" ht="18" customHeight="1" x14ac:dyDescent="0.25">
      <c r="A108" s="15">
        <f>Output!A107</f>
        <v>0</v>
      </c>
      <c r="B108" s="15">
        <f>Output!B107</f>
        <v>0</v>
      </c>
      <c r="C108" s="15" t="str">
        <f>IFERROR(INT(Output!C107)&amp;" "&amp;IF(MROUND((Output!C107-INT(Output!C107)),1/8)=0,"",VLOOKUP(MROUND((Output!C107-INT(Output!C107)),1/8),fract[],2,FALSE))&amp;"''","")</f>
        <v>0 ''</v>
      </c>
      <c r="D108" s="15" t="str">
        <f>IFERROR(ROUND(INT(Output!D107)/12,0)&amp;"'-"&amp;INT((Output!D107/12-INT(Output!D107/12))*12)&amp;" "&amp;IF(MROUND((Output!D107/12-INT(Output!D107/12))*12-INT((Output!D107/12-INT(Output!D107/12))*12),1/8)=0,"",VLOOKUP(MROUND((Output!D107/12-INT(Output!D107/12))*12-INT((Output!D107/12-INT(Output!D107/12))*12),1/8),fract[],2,FALSE))&amp;"''","")</f>
        <v>0'-0 ''</v>
      </c>
      <c r="E108" s="15" t="str">
        <f>IFERROR(INT(Output!E107)&amp;" "&amp;IF(MROUND((Output!E107-INT(Output!E107)),1/8)=0,"",VLOOKUP(MROUND((Output!E107-INT(Output!E107)),1/8),fract[],2,FALSE))&amp;"''","")</f>
        <v>0 ''</v>
      </c>
      <c r="F108" s="14"/>
      <c r="G108" s="14"/>
      <c r="H108" s="15">
        <f t="shared" si="2"/>
        <v>0</v>
      </c>
      <c r="I108" s="15">
        <f t="shared" si="3"/>
        <v>0</v>
      </c>
      <c r="J108" s="18">
        <f>Output!F107</f>
        <v>0</v>
      </c>
      <c r="K108" s="18">
        <f>Output!G107</f>
        <v>0</v>
      </c>
    </row>
    <row r="109" spans="1:11" ht="18" customHeight="1" x14ac:dyDescent="0.25">
      <c r="A109" s="15">
        <f>Output!A108</f>
        <v>0</v>
      </c>
      <c r="B109" s="15">
        <f>Output!B108</f>
        <v>0</v>
      </c>
      <c r="C109" s="15" t="str">
        <f>IFERROR(INT(Output!C108)&amp;" "&amp;IF(MROUND((Output!C108-INT(Output!C108)),1/8)=0,"",VLOOKUP(MROUND((Output!C108-INT(Output!C108)),1/8),fract[],2,FALSE))&amp;"''","")</f>
        <v>0 ''</v>
      </c>
      <c r="D109" s="15" t="str">
        <f>IFERROR(ROUND(INT(Output!D108)/12,0)&amp;"'-"&amp;INT((Output!D108/12-INT(Output!D108/12))*12)&amp;" "&amp;IF(MROUND((Output!D108/12-INT(Output!D108/12))*12-INT((Output!D108/12-INT(Output!D108/12))*12),1/8)=0,"",VLOOKUP(MROUND((Output!D108/12-INT(Output!D108/12))*12-INT((Output!D108/12-INT(Output!D108/12))*12),1/8),fract[],2,FALSE))&amp;"''","")</f>
        <v>0'-0 ''</v>
      </c>
      <c r="E109" s="15" t="str">
        <f>IFERROR(INT(Output!E108)&amp;" "&amp;IF(MROUND((Output!E108-INT(Output!E108)),1/8)=0,"",VLOOKUP(MROUND((Output!E108-INT(Output!E108)),1/8),fract[],2,FALSE))&amp;"''","")</f>
        <v>0 ''</v>
      </c>
      <c r="F109" s="14"/>
      <c r="G109" s="14"/>
      <c r="H109" s="15">
        <f t="shared" si="2"/>
        <v>0</v>
      </c>
      <c r="I109" s="15">
        <f t="shared" si="3"/>
        <v>0</v>
      </c>
      <c r="J109" s="18">
        <f>Output!F108</f>
        <v>0</v>
      </c>
      <c r="K109" s="18">
        <f>Output!G108</f>
        <v>0</v>
      </c>
    </row>
    <row r="110" spans="1:11" ht="18" customHeight="1" x14ac:dyDescent="0.25">
      <c r="A110" s="15">
        <f>Output!A109</f>
        <v>0</v>
      </c>
      <c r="B110" s="15">
        <f>Output!B109</f>
        <v>0</v>
      </c>
      <c r="C110" s="15" t="str">
        <f>IFERROR(INT(Output!C109)&amp;" "&amp;IF(MROUND((Output!C109-INT(Output!C109)),1/8)=0,"",VLOOKUP(MROUND((Output!C109-INT(Output!C109)),1/8),fract[],2,FALSE))&amp;"''","")</f>
        <v>0 ''</v>
      </c>
      <c r="D110" s="15" t="str">
        <f>IFERROR(ROUND(INT(Output!D109)/12,0)&amp;"'-"&amp;INT((Output!D109/12-INT(Output!D109/12))*12)&amp;" "&amp;IF(MROUND((Output!D109/12-INT(Output!D109/12))*12-INT((Output!D109/12-INT(Output!D109/12))*12),1/8)=0,"",VLOOKUP(MROUND((Output!D109/12-INT(Output!D109/12))*12-INT((Output!D109/12-INT(Output!D109/12))*12),1/8),fract[],2,FALSE))&amp;"''","")</f>
        <v>0'-0 ''</v>
      </c>
      <c r="E110" s="15" t="str">
        <f>IFERROR(INT(Output!E109)&amp;" "&amp;IF(MROUND((Output!E109-INT(Output!E109)),1/8)=0,"",VLOOKUP(MROUND((Output!E109-INT(Output!E109)),1/8),fract[],2,FALSE))&amp;"''","")</f>
        <v>0 ''</v>
      </c>
      <c r="F110" s="14"/>
      <c r="G110" s="14"/>
      <c r="H110" s="15">
        <f t="shared" si="2"/>
        <v>0</v>
      </c>
      <c r="I110" s="15">
        <f t="shared" si="3"/>
        <v>0</v>
      </c>
      <c r="J110" s="18">
        <f>Output!F109</f>
        <v>0</v>
      </c>
      <c r="K110" s="18">
        <f>Output!G109</f>
        <v>0</v>
      </c>
    </row>
    <row r="111" spans="1:11" ht="18" customHeight="1" x14ac:dyDescent="0.25">
      <c r="A111" s="15">
        <f>Output!A110</f>
        <v>0</v>
      </c>
      <c r="B111" s="15">
        <f>Output!B110</f>
        <v>0</v>
      </c>
      <c r="C111" s="15" t="str">
        <f>IFERROR(INT(Output!C110)&amp;" "&amp;IF(MROUND((Output!C110-INT(Output!C110)),1/8)=0,"",VLOOKUP(MROUND((Output!C110-INT(Output!C110)),1/8),fract[],2,FALSE))&amp;"''","")</f>
        <v>0 ''</v>
      </c>
      <c r="D111" s="15" t="str">
        <f>IFERROR(ROUND(INT(Output!D110)/12,0)&amp;"'-"&amp;INT((Output!D110/12-INT(Output!D110/12))*12)&amp;" "&amp;IF(MROUND((Output!D110/12-INT(Output!D110/12))*12-INT((Output!D110/12-INT(Output!D110/12))*12),1/8)=0,"",VLOOKUP(MROUND((Output!D110/12-INT(Output!D110/12))*12-INT((Output!D110/12-INT(Output!D110/12))*12),1/8),fract[],2,FALSE))&amp;"''","")</f>
        <v>0'-0 ''</v>
      </c>
      <c r="E111" s="15" t="str">
        <f>IFERROR(INT(Output!E110)&amp;" "&amp;IF(MROUND((Output!E110-INT(Output!E110)),1/8)=0,"",VLOOKUP(MROUND((Output!E110-INT(Output!E110)),1/8),fract[],2,FALSE))&amp;"''","")</f>
        <v>0 ''</v>
      </c>
      <c r="F111" s="14"/>
      <c r="G111" s="14"/>
      <c r="H111" s="15">
        <f t="shared" si="2"/>
        <v>0</v>
      </c>
      <c r="I111" s="15">
        <f t="shared" si="3"/>
        <v>0</v>
      </c>
      <c r="J111" s="18">
        <f>Output!F110</f>
        <v>0</v>
      </c>
      <c r="K111" s="18">
        <f>Output!G110</f>
        <v>0</v>
      </c>
    </row>
    <row r="112" spans="1:11" ht="18" customHeight="1" x14ac:dyDescent="0.25">
      <c r="A112" s="15">
        <f>Output!A111</f>
        <v>0</v>
      </c>
      <c r="B112" s="15">
        <f>Output!B111</f>
        <v>0</v>
      </c>
      <c r="C112" s="15" t="str">
        <f>IFERROR(INT(Output!C111)&amp;" "&amp;IF(MROUND((Output!C111-INT(Output!C111)),1/8)=0,"",VLOOKUP(MROUND((Output!C111-INT(Output!C111)),1/8),fract[],2,FALSE))&amp;"''","")</f>
        <v>0 ''</v>
      </c>
      <c r="D112" s="15" t="str">
        <f>IFERROR(ROUND(INT(Output!D111)/12,0)&amp;"'-"&amp;INT((Output!D111/12-INT(Output!D111/12))*12)&amp;" "&amp;IF(MROUND((Output!D111/12-INT(Output!D111/12))*12-INT((Output!D111/12-INT(Output!D111/12))*12),1/8)=0,"",VLOOKUP(MROUND((Output!D111/12-INT(Output!D111/12))*12-INT((Output!D111/12-INT(Output!D111/12))*12),1/8),fract[],2,FALSE))&amp;"''","")</f>
        <v>0'-0 ''</v>
      </c>
      <c r="E112" s="15" t="str">
        <f>IFERROR(INT(Output!E111)&amp;" "&amp;IF(MROUND((Output!E111-INT(Output!E111)),1/8)=0,"",VLOOKUP(MROUND((Output!E111-INT(Output!E111)),1/8),fract[],2,FALSE))&amp;"''","")</f>
        <v>0 ''</v>
      </c>
      <c r="F112" s="14"/>
      <c r="G112" s="14"/>
      <c r="H112" s="15">
        <f t="shared" si="2"/>
        <v>0</v>
      </c>
      <c r="I112" s="15">
        <f t="shared" si="3"/>
        <v>0</v>
      </c>
      <c r="J112" s="18">
        <f>Output!F111</f>
        <v>0</v>
      </c>
      <c r="K112" s="18">
        <f>Output!G111</f>
        <v>0</v>
      </c>
    </row>
    <row r="113" spans="1:11" ht="18" customHeight="1" x14ac:dyDescent="0.25">
      <c r="A113" s="15">
        <f>Output!A112</f>
        <v>0</v>
      </c>
      <c r="B113" s="15">
        <f>Output!B112</f>
        <v>0</v>
      </c>
      <c r="C113" s="15" t="str">
        <f>IFERROR(INT(Output!C112)&amp;" "&amp;IF(MROUND((Output!C112-INT(Output!C112)),1/8)=0,"",VLOOKUP(MROUND((Output!C112-INT(Output!C112)),1/8),fract[],2,FALSE))&amp;"''","")</f>
        <v>0 ''</v>
      </c>
      <c r="D113" s="15" t="str">
        <f>IFERROR(ROUND(INT(Output!D112)/12,0)&amp;"'-"&amp;INT((Output!D112/12-INT(Output!D112/12))*12)&amp;" "&amp;IF(MROUND((Output!D112/12-INT(Output!D112/12))*12-INT((Output!D112/12-INT(Output!D112/12))*12),1/8)=0,"",VLOOKUP(MROUND((Output!D112/12-INT(Output!D112/12))*12-INT((Output!D112/12-INT(Output!D112/12))*12),1/8),fract[],2,FALSE))&amp;"''","")</f>
        <v>0'-0 ''</v>
      </c>
      <c r="E113" s="15" t="str">
        <f>IFERROR(INT(Output!E112)&amp;" "&amp;IF(MROUND((Output!E112-INT(Output!E112)),1/8)=0,"",VLOOKUP(MROUND((Output!E112-INT(Output!E112)),1/8),fract[],2,FALSE))&amp;"''","")</f>
        <v>0 ''</v>
      </c>
      <c r="F113" s="14"/>
      <c r="G113" s="14"/>
      <c r="H113" s="15">
        <f t="shared" si="2"/>
        <v>0</v>
      </c>
      <c r="I113" s="15">
        <f t="shared" si="3"/>
        <v>0</v>
      </c>
      <c r="J113" s="18">
        <f>Output!F112</f>
        <v>0</v>
      </c>
      <c r="K113" s="18">
        <f>Output!G112</f>
        <v>0</v>
      </c>
    </row>
    <row r="114" spans="1:11" ht="18" customHeight="1" x14ac:dyDescent="0.25">
      <c r="A114" s="15">
        <f>Output!A113</f>
        <v>0</v>
      </c>
      <c r="B114" s="15">
        <f>Output!B113</f>
        <v>0</v>
      </c>
      <c r="C114" s="15" t="str">
        <f>IFERROR(INT(Output!C113)&amp;" "&amp;IF(MROUND((Output!C113-INT(Output!C113)),1/8)=0,"",VLOOKUP(MROUND((Output!C113-INT(Output!C113)),1/8),fract[],2,FALSE))&amp;"''","")</f>
        <v>0 ''</v>
      </c>
      <c r="D114" s="15" t="str">
        <f>IFERROR(ROUND(INT(Output!D113)/12,0)&amp;"'-"&amp;INT((Output!D113/12-INT(Output!D113/12))*12)&amp;" "&amp;IF(MROUND((Output!D113/12-INT(Output!D113/12))*12-INT((Output!D113/12-INT(Output!D113/12))*12),1/8)=0,"",VLOOKUP(MROUND((Output!D113/12-INT(Output!D113/12))*12-INT((Output!D113/12-INT(Output!D113/12))*12),1/8),fract[],2,FALSE))&amp;"''","")</f>
        <v>0'-0 ''</v>
      </c>
      <c r="E114" s="15" t="str">
        <f>IFERROR(INT(Output!E113)&amp;" "&amp;IF(MROUND((Output!E113-INT(Output!E113)),1/8)=0,"",VLOOKUP(MROUND((Output!E113-INT(Output!E113)),1/8),fract[],2,FALSE))&amp;"''","")</f>
        <v>0 ''</v>
      </c>
      <c r="F114" s="14"/>
      <c r="G114" s="14"/>
      <c r="H114" s="15">
        <f t="shared" si="2"/>
        <v>0</v>
      </c>
      <c r="I114" s="15">
        <f t="shared" si="3"/>
        <v>0</v>
      </c>
      <c r="J114" s="18">
        <f>Output!F113</f>
        <v>0</v>
      </c>
      <c r="K114" s="18">
        <f>Output!G113</f>
        <v>0</v>
      </c>
    </row>
    <row r="115" spans="1:11" ht="18" customHeight="1" x14ac:dyDescent="0.25">
      <c r="A115" s="15">
        <f>Output!A114</f>
        <v>0</v>
      </c>
      <c r="B115" s="15">
        <f>Output!B114</f>
        <v>0</v>
      </c>
      <c r="C115" s="15" t="str">
        <f>IFERROR(INT(Output!C114)&amp;" "&amp;IF(MROUND((Output!C114-INT(Output!C114)),1/8)=0,"",VLOOKUP(MROUND((Output!C114-INT(Output!C114)),1/8),fract[],2,FALSE))&amp;"''","")</f>
        <v>0 ''</v>
      </c>
      <c r="D115" s="15" t="str">
        <f>IFERROR(ROUND(INT(Output!D114)/12,0)&amp;"'-"&amp;INT((Output!D114/12-INT(Output!D114/12))*12)&amp;" "&amp;IF(MROUND((Output!D114/12-INT(Output!D114/12))*12-INT((Output!D114/12-INT(Output!D114/12))*12),1/8)=0,"",VLOOKUP(MROUND((Output!D114/12-INT(Output!D114/12))*12-INT((Output!D114/12-INT(Output!D114/12))*12),1/8),fract[],2,FALSE))&amp;"''","")</f>
        <v>0'-0 ''</v>
      </c>
      <c r="E115" s="15" t="str">
        <f>IFERROR(INT(Output!E114)&amp;" "&amp;IF(MROUND((Output!E114-INT(Output!E114)),1/8)=0,"",VLOOKUP(MROUND((Output!E114-INT(Output!E114)),1/8),fract[],2,FALSE))&amp;"''","")</f>
        <v>0 ''</v>
      </c>
      <c r="F115" s="14"/>
      <c r="G115" s="14"/>
      <c r="H115" s="15">
        <f t="shared" si="2"/>
        <v>0</v>
      </c>
      <c r="I115" s="15">
        <f t="shared" si="3"/>
        <v>0</v>
      </c>
      <c r="J115" s="18">
        <f>Output!F114</f>
        <v>0</v>
      </c>
      <c r="K115" s="18">
        <f>Output!G114</f>
        <v>0</v>
      </c>
    </row>
    <row r="116" spans="1:11" ht="18" customHeight="1" x14ac:dyDescent="0.25">
      <c r="A116" s="15">
        <f>Output!A115</f>
        <v>0</v>
      </c>
      <c r="B116" s="15">
        <f>Output!B115</f>
        <v>0</v>
      </c>
      <c r="C116" s="15" t="str">
        <f>IFERROR(INT(Output!C115)&amp;" "&amp;IF(MROUND((Output!C115-INT(Output!C115)),1/8)=0,"",VLOOKUP(MROUND((Output!C115-INT(Output!C115)),1/8),fract[],2,FALSE))&amp;"''","")</f>
        <v>0 ''</v>
      </c>
      <c r="D116" s="15" t="str">
        <f>IFERROR(ROUND(INT(Output!D115)/12,0)&amp;"'-"&amp;INT((Output!D115/12-INT(Output!D115/12))*12)&amp;" "&amp;IF(MROUND((Output!D115/12-INT(Output!D115/12))*12-INT((Output!D115/12-INT(Output!D115/12))*12),1/8)=0,"",VLOOKUP(MROUND((Output!D115/12-INT(Output!D115/12))*12-INT((Output!D115/12-INT(Output!D115/12))*12),1/8),fract[],2,FALSE))&amp;"''","")</f>
        <v>0'-0 ''</v>
      </c>
      <c r="E116" s="15" t="str">
        <f>IFERROR(INT(Output!E115)&amp;" "&amp;IF(MROUND((Output!E115-INT(Output!E115)),1/8)=0,"",VLOOKUP(MROUND((Output!E115-INT(Output!E115)),1/8),fract[],2,FALSE))&amp;"''","")</f>
        <v>0 ''</v>
      </c>
      <c r="F116" s="14"/>
      <c r="G116" s="14"/>
      <c r="H116" s="15">
        <f t="shared" si="2"/>
        <v>0</v>
      </c>
      <c r="I116" s="15">
        <f t="shared" si="3"/>
        <v>0</v>
      </c>
      <c r="J116" s="18">
        <f>Output!F115</f>
        <v>0</v>
      </c>
      <c r="K116" s="18">
        <f>Output!G115</f>
        <v>0</v>
      </c>
    </row>
    <row r="117" spans="1:11" ht="18" customHeight="1" x14ac:dyDescent="0.25">
      <c r="A117" s="15">
        <f>Output!A116</f>
        <v>0</v>
      </c>
      <c r="B117" s="15">
        <f>Output!B116</f>
        <v>0</v>
      </c>
      <c r="C117" s="15" t="str">
        <f>IFERROR(INT(Output!C116)&amp;" "&amp;IF(MROUND((Output!C116-INT(Output!C116)),1/8)=0,"",VLOOKUP(MROUND((Output!C116-INT(Output!C116)),1/8),fract[],2,FALSE))&amp;"''","")</f>
        <v>0 ''</v>
      </c>
      <c r="D117" s="15" t="str">
        <f>IFERROR(ROUND(INT(Output!D116)/12,0)&amp;"'-"&amp;INT((Output!D116/12-INT(Output!D116/12))*12)&amp;" "&amp;IF(MROUND((Output!D116/12-INT(Output!D116/12))*12-INT((Output!D116/12-INT(Output!D116/12))*12),1/8)=0,"",VLOOKUP(MROUND((Output!D116/12-INT(Output!D116/12))*12-INT((Output!D116/12-INT(Output!D116/12))*12),1/8),fract[],2,FALSE))&amp;"''","")</f>
        <v>0'-0 ''</v>
      </c>
      <c r="E117" s="15" t="str">
        <f>IFERROR(INT(Output!E116)&amp;" "&amp;IF(MROUND((Output!E116-INT(Output!E116)),1/8)=0,"",VLOOKUP(MROUND((Output!E116-INT(Output!E116)),1/8),fract[],2,FALSE))&amp;"''","")</f>
        <v>0 ''</v>
      </c>
      <c r="F117" s="14"/>
      <c r="G117" s="14"/>
      <c r="H117" s="15">
        <f t="shared" si="2"/>
        <v>0</v>
      </c>
      <c r="I117" s="15">
        <f t="shared" si="3"/>
        <v>0</v>
      </c>
      <c r="J117" s="18">
        <f>Output!F116</f>
        <v>0</v>
      </c>
      <c r="K117" s="18">
        <f>Output!G116</f>
        <v>0</v>
      </c>
    </row>
    <row r="118" spans="1:11" ht="18" customHeight="1" x14ac:dyDescent="0.25">
      <c r="A118" s="15">
        <f>Output!A117</f>
        <v>0</v>
      </c>
      <c r="B118" s="15">
        <f>Output!B117</f>
        <v>0</v>
      </c>
      <c r="C118" s="15" t="str">
        <f>IFERROR(INT(Output!C117)&amp;" "&amp;IF(MROUND((Output!C117-INT(Output!C117)),1/8)=0,"",VLOOKUP(MROUND((Output!C117-INT(Output!C117)),1/8),fract[],2,FALSE))&amp;"''","")</f>
        <v>0 ''</v>
      </c>
      <c r="D118" s="15" t="str">
        <f>IFERROR(ROUND(INT(Output!D117)/12,0)&amp;"'-"&amp;INT((Output!D117/12-INT(Output!D117/12))*12)&amp;" "&amp;IF(MROUND((Output!D117/12-INT(Output!D117/12))*12-INT((Output!D117/12-INT(Output!D117/12))*12),1/8)=0,"",VLOOKUP(MROUND((Output!D117/12-INT(Output!D117/12))*12-INT((Output!D117/12-INT(Output!D117/12))*12),1/8),fract[],2,FALSE))&amp;"''","")</f>
        <v>0'-0 ''</v>
      </c>
      <c r="E118" s="15" t="str">
        <f>IFERROR(INT(Output!E117)&amp;" "&amp;IF(MROUND((Output!E117-INT(Output!E117)),1/8)=0,"",VLOOKUP(MROUND((Output!E117-INT(Output!E117)),1/8),fract[],2,FALSE))&amp;"''","")</f>
        <v>0 ''</v>
      </c>
      <c r="F118" s="14"/>
      <c r="G118" s="14"/>
      <c r="H118" s="15">
        <f t="shared" si="2"/>
        <v>0</v>
      </c>
      <c r="I118" s="15">
        <f t="shared" si="3"/>
        <v>0</v>
      </c>
      <c r="J118" s="18">
        <f>Output!F117</f>
        <v>0</v>
      </c>
      <c r="K118" s="18">
        <f>Output!G117</f>
        <v>0</v>
      </c>
    </row>
    <row r="119" spans="1:11" ht="18" customHeight="1" x14ac:dyDescent="0.25">
      <c r="A119" s="15">
        <f>Output!A118</f>
        <v>0</v>
      </c>
      <c r="B119" s="15">
        <f>Output!B118</f>
        <v>0</v>
      </c>
      <c r="C119" s="15" t="str">
        <f>IFERROR(INT(Output!C118)&amp;" "&amp;IF(MROUND((Output!C118-INT(Output!C118)),1/8)=0,"",VLOOKUP(MROUND((Output!C118-INT(Output!C118)),1/8),fract[],2,FALSE))&amp;"''","")</f>
        <v>0 ''</v>
      </c>
      <c r="D119" s="15" t="str">
        <f>IFERROR(ROUND(INT(Output!D118)/12,0)&amp;"'-"&amp;INT((Output!D118/12-INT(Output!D118/12))*12)&amp;" "&amp;IF(MROUND((Output!D118/12-INT(Output!D118/12))*12-INT((Output!D118/12-INT(Output!D118/12))*12),1/8)=0,"",VLOOKUP(MROUND((Output!D118/12-INT(Output!D118/12))*12-INT((Output!D118/12-INT(Output!D118/12))*12),1/8),fract[],2,FALSE))&amp;"''","")</f>
        <v>0'-0 ''</v>
      </c>
      <c r="E119" s="15" t="str">
        <f>IFERROR(INT(Output!E118)&amp;" "&amp;IF(MROUND((Output!E118-INT(Output!E118)),1/8)=0,"",VLOOKUP(MROUND((Output!E118-INT(Output!E118)),1/8),fract[],2,FALSE))&amp;"''","")</f>
        <v>0 ''</v>
      </c>
      <c r="F119" s="14"/>
      <c r="G119" s="14"/>
      <c r="H119" s="15">
        <f t="shared" si="2"/>
        <v>0</v>
      </c>
      <c r="I119" s="15">
        <f t="shared" si="3"/>
        <v>0</v>
      </c>
      <c r="J119" s="18">
        <f>Output!F118</f>
        <v>0</v>
      </c>
      <c r="K119" s="18">
        <f>Output!G118</f>
        <v>0</v>
      </c>
    </row>
    <row r="120" spans="1:11" ht="18" customHeight="1" x14ac:dyDescent="0.25">
      <c r="A120" s="15">
        <f>Output!A119</f>
        <v>0</v>
      </c>
      <c r="B120" s="15">
        <f>Output!B119</f>
        <v>0</v>
      </c>
      <c r="C120" s="15" t="str">
        <f>IFERROR(INT(Output!C119)&amp;" "&amp;IF(MROUND((Output!C119-INT(Output!C119)),1/8)=0,"",VLOOKUP(MROUND((Output!C119-INT(Output!C119)),1/8),fract[],2,FALSE))&amp;"''","")</f>
        <v>0 ''</v>
      </c>
      <c r="D120" s="15" t="str">
        <f>IFERROR(ROUND(INT(Output!D119)/12,0)&amp;"'-"&amp;INT((Output!D119/12-INT(Output!D119/12))*12)&amp;" "&amp;IF(MROUND((Output!D119/12-INT(Output!D119/12))*12-INT((Output!D119/12-INT(Output!D119/12))*12),1/8)=0,"",VLOOKUP(MROUND((Output!D119/12-INT(Output!D119/12))*12-INT((Output!D119/12-INT(Output!D119/12))*12),1/8),fract[],2,FALSE))&amp;"''","")</f>
        <v>0'-0 ''</v>
      </c>
      <c r="E120" s="15" t="str">
        <f>IFERROR(INT(Output!E119)&amp;" "&amp;IF(MROUND((Output!E119-INT(Output!E119)),1/8)=0,"",VLOOKUP(MROUND((Output!E119-INT(Output!E119)),1/8),fract[],2,FALSE))&amp;"''","")</f>
        <v>0 ''</v>
      </c>
      <c r="F120" s="14"/>
      <c r="G120" s="14"/>
      <c r="H120" s="15">
        <f t="shared" si="2"/>
        <v>0</v>
      </c>
      <c r="I120" s="15">
        <f t="shared" si="3"/>
        <v>0</v>
      </c>
      <c r="J120" s="18">
        <f>Output!F119</f>
        <v>0</v>
      </c>
      <c r="K120" s="18">
        <f>Output!G119</f>
        <v>0</v>
      </c>
    </row>
    <row r="121" spans="1:11" ht="18" customHeight="1" x14ac:dyDescent="0.25">
      <c r="A121" s="15">
        <f>Output!A120</f>
        <v>0</v>
      </c>
      <c r="B121" s="15">
        <f>Output!B120</f>
        <v>0</v>
      </c>
      <c r="C121" s="15" t="str">
        <f>IFERROR(INT(Output!C120)&amp;" "&amp;IF(MROUND((Output!C120-INT(Output!C120)),1/8)=0,"",VLOOKUP(MROUND((Output!C120-INT(Output!C120)),1/8),fract[],2,FALSE))&amp;"''","")</f>
        <v>0 ''</v>
      </c>
      <c r="D121" s="15" t="str">
        <f>IFERROR(ROUND(INT(Output!D120)/12,0)&amp;"'-"&amp;INT((Output!D120/12-INT(Output!D120/12))*12)&amp;" "&amp;IF(MROUND((Output!D120/12-INT(Output!D120/12))*12-INT((Output!D120/12-INT(Output!D120/12))*12),1/8)=0,"",VLOOKUP(MROUND((Output!D120/12-INT(Output!D120/12))*12-INT((Output!D120/12-INT(Output!D120/12))*12),1/8),fract[],2,FALSE))&amp;"''","")</f>
        <v>0'-0 ''</v>
      </c>
      <c r="E121" s="15" t="str">
        <f>IFERROR(INT(Output!E120)&amp;" "&amp;IF(MROUND((Output!E120-INT(Output!E120)),1/8)=0,"",VLOOKUP(MROUND((Output!E120-INT(Output!E120)),1/8),fract[],2,FALSE))&amp;"''","")</f>
        <v>0 ''</v>
      </c>
      <c r="F121" s="14"/>
      <c r="G121" s="14"/>
      <c r="H121" s="15">
        <f t="shared" si="2"/>
        <v>0</v>
      </c>
      <c r="I121" s="15">
        <f t="shared" si="3"/>
        <v>0</v>
      </c>
      <c r="J121" s="18">
        <f>Output!F120</f>
        <v>0</v>
      </c>
      <c r="K121" s="18">
        <f>Output!G120</f>
        <v>0</v>
      </c>
    </row>
    <row r="122" spans="1:11" ht="18" customHeight="1" x14ac:dyDescent="0.25">
      <c r="A122" s="15">
        <f>Output!A121</f>
        <v>0</v>
      </c>
      <c r="B122" s="15">
        <f>Output!B121</f>
        <v>0</v>
      </c>
      <c r="C122" s="15" t="str">
        <f>IFERROR(INT(Output!C121)&amp;" "&amp;IF(MROUND((Output!C121-INT(Output!C121)),1/8)=0,"",VLOOKUP(MROUND((Output!C121-INT(Output!C121)),1/8),fract[],2,FALSE))&amp;"''","")</f>
        <v>0 ''</v>
      </c>
      <c r="D122" s="15" t="str">
        <f>IFERROR(ROUND(INT(Output!D121)/12,0)&amp;"'-"&amp;INT((Output!D121/12-INT(Output!D121/12))*12)&amp;" "&amp;IF(MROUND((Output!D121/12-INT(Output!D121/12))*12-INT((Output!D121/12-INT(Output!D121/12))*12),1/8)=0,"",VLOOKUP(MROUND((Output!D121/12-INT(Output!D121/12))*12-INT((Output!D121/12-INT(Output!D121/12))*12),1/8),fract[],2,FALSE))&amp;"''","")</f>
        <v>0'-0 ''</v>
      </c>
      <c r="E122" s="15" t="str">
        <f>IFERROR(INT(Output!E121)&amp;" "&amp;IF(MROUND((Output!E121-INT(Output!E121)),1/8)=0,"",VLOOKUP(MROUND((Output!E121-INT(Output!E121)),1/8),fract[],2,FALSE))&amp;"''","")</f>
        <v>0 ''</v>
      </c>
      <c r="F122" s="14"/>
      <c r="G122" s="14"/>
      <c r="H122" s="15">
        <f t="shared" si="2"/>
        <v>0</v>
      </c>
      <c r="I122" s="15">
        <f t="shared" si="3"/>
        <v>0</v>
      </c>
      <c r="J122" s="18">
        <f>Output!F121</f>
        <v>0</v>
      </c>
      <c r="K122" s="18">
        <f>Output!G121</f>
        <v>0</v>
      </c>
    </row>
    <row r="123" spans="1:11" ht="18" customHeight="1" x14ac:dyDescent="0.25">
      <c r="A123" s="15">
        <f>Output!A122</f>
        <v>0</v>
      </c>
      <c r="B123" s="15">
        <f>Output!B122</f>
        <v>0</v>
      </c>
      <c r="C123" s="15" t="str">
        <f>IFERROR(INT(Output!C122)&amp;" "&amp;IF(MROUND((Output!C122-INT(Output!C122)),1/8)=0,"",VLOOKUP(MROUND((Output!C122-INT(Output!C122)),1/8),fract[],2,FALSE))&amp;"''","")</f>
        <v>0 ''</v>
      </c>
      <c r="D123" s="15" t="str">
        <f>IFERROR(ROUND(INT(Output!D122)/12,0)&amp;"'-"&amp;INT((Output!D122/12-INT(Output!D122/12))*12)&amp;" "&amp;IF(MROUND((Output!D122/12-INT(Output!D122/12))*12-INT((Output!D122/12-INT(Output!D122/12))*12),1/8)=0,"",VLOOKUP(MROUND((Output!D122/12-INT(Output!D122/12))*12-INT((Output!D122/12-INT(Output!D122/12))*12),1/8),fract[],2,FALSE))&amp;"''","")</f>
        <v>0'-0 ''</v>
      </c>
      <c r="E123" s="15" t="str">
        <f>IFERROR(INT(Output!E122)&amp;" "&amp;IF(MROUND((Output!E122-INT(Output!E122)),1/8)=0,"",VLOOKUP(MROUND((Output!E122-INT(Output!E122)),1/8),fract[],2,FALSE))&amp;"''","")</f>
        <v>0 ''</v>
      </c>
      <c r="F123" s="14"/>
      <c r="G123" s="14"/>
      <c r="H123" s="15">
        <f t="shared" si="2"/>
        <v>0</v>
      </c>
      <c r="I123" s="15">
        <f t="shared" si="3"/>
        <v>0</v>
      </c>
      <c r="J123" s="18">
        <f>Output!F122</f>
        <v>0</v>
      </c>
      <c r="K123" s="18">
        <f>Output!G122</f>
        <v>0</v>
      </c>
    </row>
    <row r="124" spans="1:11" ht="18" customHeight="1" x14ac:dyDescent="0.25">
      <c r="A124" s="15">
        <f>Output!A123</f>
        <v>0</v>
      </c>
      <c r="B124" s="15">
        <f>Output!B123</f>
        <v>0</v>
      </c>
      <c r="C124" s="15" t="str">
        <f>IFERROR(INT(Output!C123)&amp;" "&amp;IF(MROUND((Output!C123-INT(Output!C123)),1/8)=0,"",VLOOKUP(MROUND((Output!C123-INT(Output!C123)),1/8),fract[],2,FALSE))&amp;"''","")</f>
        <v>0 ''</v>
      </c>
      <c r="D124" s="15" t="str">
        <f>IFERROR(ROUND(INT(Output!D123)/12,0)&amp;"'-"&amp;INT((Output!D123/12-INT(Output!D123/12))*12)&amp;" "&amp;IF(MROUND((Output!D123/12-INT(Output!D123/12))*12-INT((Output!D123/12-INT(Output!D123/12))*12),1/8)=0,"",VLOOKUP(MROUND((Output!D123/12-INT(Output!D123/12))*12-INT((Output!D123/12-INT(Output!D123/12))*12),1/8),fract[],2,FALSE))&amp;"''","")</f>
        <v>0'-0 ''</v>
      </c>
      <c r="E124" s="15" t="str">
        <f>IFERROR(INT(Output!E123)&amp;" "&amp;IF(MROUND((Output!E123-INT(Output!E123)),1/8)=0,"",VLOOKUP(MROUND((Output!E123-INT(Output!E123)),1/8),fract[],2,FALSE))&amp;"''","")</f>
        <v>0 ''</v>
      </c>
      <c r="F124" s="14"/>
      <c r="G124" s="14"/>
      <c r="H124" s="15">
        <f t="shared" si="2"/>
        <v>0</v>
      </c>
      <c r="I124" s="15">
        <f t="shared" si="3"/>
        <v>0</v>
      </c>
      <c r="J124" s="18">
        <f>Output!F123</f>
        <v>0</v>
      </c>
      <c r="K124" s="18">
        <f>Output!G123</f>
        <v>0</v>
      </c>
    </row>
    <row r="125" spans="1:11" ht="18" customHeight="1" x14ac:dyDescent="0.25">
      <c r="A125" s="15">
        <f>Output!A124</f>
        <v>0</v>
      </c>
      <c r="B125" s="15">
        <f>Output!B124</f>
        <v>0</v>
      </c>
      <c r="C125" s="15" t="str">
        <f>IFERROR(INT(Output!C124)&amp;" "&amp;IF(MROUND((Output!C124-INT(Output!C124)),1/8)=0,"",VLOOKUP(MROUND((Output!C124-INT(Output!C124)),1/8),fract[],2,FALSE))&amp;"''","")</f>
        <v>0 ''</v>
      </c>
      <c r="D125" s="15" t="str">
        <f>IFERROR(ROUND(INT(Output!D124)/12,0)&amp;"'-"&amp;INT((Output!D124/12-INT(Output!D124/12))*12)&amp;" "&amp;IF(MROUND((Output!D124/12-INT(Output!D124/12))*12-INT((Output!D124/12-INT(Output!D124/12))*12),1/8)=0,"",VLOOKUP(MROUND((Output!D124/12-INT(Output!D124/12))*12-INT((Output!D124/12-INT(Output!D124/12))*12),1/8),fract[],2,FALSE))&amp;"''","")</f>
        <v>0'-0 ''</v>
      </c>
      <c r="E125" s="15" t="str">
        <f>IFERROR(INT(Output!E124)&amp;" "&amp;IF(MROUND((Output!E124-INT(Output!E124)),1/8)=0,"",VLOOKUP(MROUND((Output!E124-INT(Output!E124)),1/8),fract[],2,FALSE))&amp;"''","")</f>
        <v>0 ''</v>
      </c>
      <c r="F125" s="14"/>
      <c r="G125" s="14"/>
      <c r="H125" s="15">
        <f t="shared" si="2"/>
        <v>0</v>
      </c>
      <c r="I125" s="15">
        <f t="shared" si="3"/>
        <v>0</v>
      </c>
      <c r="J125" s="18">
        <f>Output!F124</f>
        <v>0</v>
      </c>
      <c r="K125" s="18">
        <f>Output!G124</f>
        <v>0</v>
      </c>
    </row>
    <row r="126" spans="1:11" ht="18" customHeight="1" x14ac:dyDescent="0.25">
      <c r="A126" s="15">
        <f>Output!A125</f>
        <v>0</v>
      </c>
      <c r="B126" s="15">
        <f>Output!B125</f>
        <v>0</v>
      </c>
      <c r="C126" s="15" t="str">
        <f>IFERROR(INT(Output!C125)&amp;" "&amp;IF(MROUND((Output!C125-INT(Output!C125)),1/8)=0,"",VLOOKUP(MROUND((Output!C125-INT(Output!C125)),1/8),fract[],2,FALSE))&amp;"''","")</f>
        <v>0 ''</v>
      </c>
      <c r="D126" s="15" t="str">
        <f>IFERROR(ROUND(INT(Output!D125)/12,0)&amp;"'-"&amp;INT((Output!D125/12-INT(Output!D125/12))*12)&amp;" "&amp;IF(MROUND((Output!D125/12-INT(Output!D125/12))*12-INT((Output!D125/12-INT(Output!D125/12))*12),1/8)=0,"",VLOOKUP(MROUND((Output!D125/12-INT(Output!D125/12))*12-INT((Output!D125/12-INT(Output!D125/12))*12),1/8),fract[],2,FALSE))&amp;"''","")</f>
        <v>0'-0 ''</v>
      </c>
      <c r="E126" s="15" t="str">
        <f>IFERROR(INT(Output!E125)&amp;" "&amp;IF(MROUND((Output!E125-INT(Output!E125)),1/8)=0,"",VLOOKUP(MROUND((Output!E125-INT(Output!E125)),1/8),fract[],2,FALSE))&amp;"''","")</f>
        <v>0 ''</v>
      </c>
      <c r="F126" s="14"/>
      <c r="G126" s="14"/>
      <c r="H126" s="15">
        <f t="shared" si="2"/>
        <v>0</v>
      </c>
      <c r="I126" s="15">
        <f t="shared" si="3"/>
        <v>0</v>
      </c>
      <c r="J126" s="18">
        <f>Output!F125</f>
        <v>0</v>
      </c>
      <c r="K126" s="18">
        <f>Output!G125</f>
        <v>0</v>
      </c>
    </row>
    <row r="127" spans="1:11" ht="18" customHeight="1" x14ac:dyDescent="0.25">
      <c r="A127" s="15">
        <f>Output!A126</f>
        <v>0</v>
      </c>
      <c r="B127" s="15">
        <f>Output!B126</f>
        <v>0</v>
      </c>
      <c r="C127" s="15" t="str">
        <f>IFERROR(INT(Output!C126)&amp;" "&amp;IF(MROUND((Output!C126-INT(Output!C126)),1/8)=0,"",VLOOKUP(MROUND((Output!C126-INT(Output!C126)),1/8),fract[],2,FALSE))&amp;"''","")</f>
        <v>0 ''</v>
      </c>
      <c r="D127" s="15" t="str">
        <f>IFERROR(ROUND(INT(Output!D126)/12,0)&amp;"'-"&amp;INT((Output!D126/12-INT(Output!D126/12))*12)&amp;" "&amp;IF(MROUND((Output!D126/12-INT(Output!D126/12))*12-INT((Output!D126/12-INT(Output!D126/12))*12),1/8)=0,"",VLOOKUP(MROUND((Output!D126/12-INT(Output!D126/12))*12-INT((Output!D126/12-INT(Output!D126/12))*12),1/8),fract[],2,FALSE))&amp;"''","")</f>
        <v>0'-0 ''</v>
      </c>
      <c r="E127" s="15" t="str">
        <f>IFERROR(INT(Output!E126)&amp;" "&amp;IF(MROUND((Output!E126-INT(Output!E126)),1/8)=0,"",VLOOKUP(MROUND((Output!E126-INT(Output!E126)),1/8),fract[],2,FALSE))&amp;"''","")</f>
        <v>0 ''</v>
      </c>
      <c r="F127" s="14"/>
      <c r="G127" s="14"/>
      <c r="H127" s="15">
        <f t="shared" si="2"/>
        <v>0</v>
      </c>
      <c r="I127" s="15">
        <f t="shared" si="3"/>
        <v>0</v>
      </c>
      <c r="J127" s="18">
        <f>Output!F126</f>
        <v>0</v>
      </c>
      <c r="K127" s="18">
        <f>Output!G126</f>
        <v>0</v>
      </c>
    </row>
    <row r="128" spans="1:11" ht="18" customHeight="1" x14ac:dyDescent="0.25">
      <c r="A128" s="15">
        <f>Output!A127</f>
        <v>0</v>
      </c>
      <c r="B128" s="15">
        <f>Output!B127</f>
        <v>0</v>
      </c>
      <c r="C128" s="15" t="str">
        <f>IFERROR(INT(Output!C127)&amp;" "&amp;IF(MROUND((Output!C127-INT(Output!C127)),1/8)=0,"",VLOOKUP(MROUND((Output!C127-INT(Output!C127)),1/8),fract[],2,FALSE))&amp;"''","")</f>
        <v>0 ''</v>
      </c>
      <c r="D128" s="15" t="str">
        <f>IFERROR(ROUND(INT(Output!D127)/12,0)&amp;"'-"&amp;INT((Output!D127/12-INT(Output!D127/12))*12)&amp;" "&amp;IF(MROUND((Output!D127/12-INT(Output!D127/12))*12-INT((Output!D127/12-INT(Output!D127/12))*12),1/8)=0,"",VLOOKUP(MROUND((Output!D127/12-INT(Output!D127/12))*12-INT((Output!D127/12-INT(Output!D127/12))*12),1/8),fract[],2,FALSE))&amp;"''","")</f>
        <v>0'-0 ''</v>
      </c>
      <c r="E128" s="15" t="str">
        <f>IFERROR(INT(Output!E127)&amp;" "&amp;IF(MROUND((Output!E127-INT(Output!E127)),1/8)=0,"",VLOOKUP(MROUND((Output!E127-INT(Output!E127)),1/8),fract[],2,FALSE))&amp;"''","")</f>
        <v>0 ''</v>
      </c>
      <c r="F128" s="14"/>
      <c r="G128" s="14"/>
      <c r="H128" s="15">
        <f t="shared" si="2"/>
        <v>0</v>
      </c>
      <c r="I128" s="15">
        <f t="shared" si="3"/>
        <v>0</v>
      </c>
      <c r="J128" s="18">
        <f>Output!F127</f>
        <v>0</v>
      </c>
      <c r="K128" s="18">
        <f>Output!G127</f>
        <v>0</v>
      </c>
    </row>
    <row r="129" spans="1:11" ht="18" customHeight="1" x14ac:dyDescent="0.25">
      <c r="A129" s="15">
        <f>Output!A128</f>
        <v>0</v>
      </c>
      <c r="B129" s="15">
        <f>Output!B128</f>
        <v>0</v>
      </c>
      <c r="C129" s="15" t="str">
        <f>IFERROR(INT(Output!C128)&amp;" "&amp;IF(MROUND((Output!C128-INT(Output!C128)),1/8)=0,"",VLOOKUP(MROUND((Output!C128-INT(Output!C128)),1/8),fract[],2,FALSE))&amp;"''","")</f>
        <v>0 ''</v>
      </c>
      <c r="D129" s="15" t="str">
        <f>IFERROR(ROUND(INT(Output!D128)/12,0)&amp;"'-"&amp;INT((Output!D128/12-INT(Output!D128/12))*12)&amp;" "&amp;IF(MROUND((Output!D128/12-INT(Output!D128/12))*12-INT((Output!D128/12-INT(Output!D128/12))*12),1/8)=0,"",VLOOKUP(MROUND((Output!D128/12-INT(Output!D128/12))*12-INT((Output!D128/12-INT(Output!D128/12))*12),1/8),fract[],2,FALSE))&amp;"''","")</f>
        <v>0'-0 ''</v>
      </c>
      <c r="E129" s="15" t="str">
        <f>IFERROR(INT(Output!E128)&amp;" "&amp;IF(MROUND((Output!E128-INT(Output!E128)),1/8)=0,"",VLOOKUP(MROUND((Output!E128-INT(Output!E128)),1/8),fract[],2,FALSE))&amp;"''","")</f>
        <v>0 ''</v>
      </c>
      <c r="F129" s="14"/>
      <c r="G129" s="14"/>
      <c r="H129" s="15">
        <f t="shared" si="2"/>
        <v>0</v>
      </c>
      <c r="I129" s="15">
        <f t="shared" si="3"/>
        <v>0</v>
      </c>
      <c r="J129" s="18">
        <f>Output!F128</f>
        <v>0</v>
      </c>
      <c r="K129" s="18">
        <f>Output!G128</f>
        <v>0</v>
      </c>
    </row>
    <row r="130" spans="1:11" ht="18" customHeight="1" x14ac:dyDescent="0.25">
      <c r="A130" s="15">
        <f>Output!A129</f>
        <v>0</v>
      </c>
      <c r="B130" s="15">
        <f>Output!B129</f>
        <v>0</v>
      </c>
      <c r="C130" s="15" t="str">
        <f>IFERROR(INT(Output!C129)&amp;" "&amp;IF(MROUND((Output!C129-INT(Output!C129)),1/8)=0,"",VLOOKUP(MROUND((Output!C129-INT(Output!C129)),1/8),fract[],2,FALSE))&amp;"''","")</f>
        <v>0 ''</v>
      </c>
      <c r="D130" s="15" t="str">
        <f>IFERROR(ROUND(INT(Output!D129)/12,0)&amp;"'-"&amp;INT((Output!D129/12-INT(Output!D129/12))*12)&amp;" "&amp;IF(MROUND((Output!D129/12-INT(Output!D129/12))*12-INT((Output!D129/12-INT(Output!D129/12))*12),1/8)=0,"",VLOOKUP(MROUND((Output!D129/12-INT(Output!D129/12))*12-INT((Output!D129/12-INT(Output!D129/12))*12),1/8),fract[],2,FALSE))&amp;"''","")</f>
        <v>0'-0 ''</v>
      </c>
      <c r="E130" s="15" t="str">
        <f>IFERROR(INT(Output!E129)&amp;" "&amp;IF(MROUND((Output!E129-INT(Output!E129)),1/8)=0,"",VLOOKUP(MROUND((Output!E129-INT(Output!E129)),1/8),fract[],2,FALSE))&amp;"''","")</f>
        <v>0 ''</v>
      </c>
      <c r="F130" s="14"/>
      <c r="G130" s="14"/>
      <c r="H130" s="15">
        <f t="shared" si="2"/>
        <v>0</v>
      </c>
      <c r="I130" s="15">
        <f t="shared" si="3"/>
        <v>0</v>
      </c>
      <c r="J130" s="18">
        <f>Output!F129</f>
        <v>0</v>
      </c>
      <c r="K130" s="18">
        <f>Output!G129</f>
        <v>0</v>
      </c>
    </row>
    <row r="131" spans="1:11" ht="18" customHeight="1" x14ac:dyDescent="0.25">
      <c r="A131" s="15">
        <f>Output!A130</f>
        <v>0</v>
      </c>
      <c r="B131" s="15">
        <f>Output!B130</f>
        <v>0</v>
      </c>
      <c r="C131" s="15" t="str">
        <f>IFERROR(INT(Output!C130)&amp;" "&amp;IF(MROUND((Output!C130-INT(Output!C130)),1/8)=0,"",VLOOKUP(MROUND((Output!C130-INT(Output!C130)),1/8),fract[],2,FALSE))&amp;"''","")</f>
        <v>0 ''</v>
      </c>
      <c r="D131" s="15" t="str">
        <f>IFERROR(ROUND(INT(Output!D130)/12,0)&amp;"'-"&amp;INT((Output!D130/12-INT(Output!D130/12))*12)&amp;" "&amp;IF(MROUND((Output!D130/12-INT(Output!D130/12))*12-INT((Output!D130/12-INT(Output!D130/12))*12),1/8)=0,"",VLOOKUP(MROUND((Output!D130/12-INT(Output!D130/12))*12-INT((Output!D130/12-INT(Output!D130/12))*12),1/8),fract[],2,FALSE))&amp;"''","")</f>
        <v>0'-0 ''</v>
      </c>
      <c r="E131" s="15" t="str">
        <f>IFERROR(INT(Output!E130)&amp;" "&amp;IF(MROUND((Output!E130-INT(Output!E130)),1/8)=0,"",VLOOKUP(MROUND((Output!E130-INT(Output!E130)),1/8),fract[],2,FALSE))&amp;"''","")</f>
        <v>0 ''</v>
      </c>
      <c r="F131" s="14"/>
      <c r="G131" s="14"/>
      <c r="H131" s="15">
        <f t="shared" si="2"/>
        <v>0</v>
      </c>
      <c r="I131" s="15">
        <f t="shared" si="3"/>
        <v>0</v>
      </c>
      <c r="J131" s="18">
        <f>Output!F130</f>
        <v>0</v>
      </c>
      <c r="K131" s="18">
        <f>Output!G130</f>
        <v>0</v>
      </c>
    </row>
    <row r="132" spans="1:11" ht="18" customHeight="1" x14ac:dyDescent="0.25">
      <c r="A132" s="15">
        <f>Output!A131</f>
        <v>0</v>
      </c>
      <c r="B132" s="15">
        <f>Output!B131</f>
        <v>0</v>
      </c>
      <c r="C132" s="15" t="str">
        <f>IFERROR(INT(Output!C131)&amp;" "&amp;IF(MROUND((Output!C131-INT(Output!C131)),1/8)=0,"",VLOOKUP(MROUND((Output!C131-INT(Output!C131)),1/8),fract[],2,FALSE))&amp;"''","")</f>
        <v>0 ''</v>
      </c>
      <c r="D132" s="15" t="str">
        <f>IFERROR(ROUND(INT(Output!D131)/12,0)&amp;"'-"&amp;INT((Output!D131/12-INT(Output!D131/12))*12)&amp;" "&amp;IF(MROUND((Output!D131/12-INT(Output!D131/12))*12-INT((Output!D131/12-INT(Output!D131/12))*12),1/8)=0,"",VLOOKUP(MROUND((Output!D131/12-INT(Output!D131/12))*12-INT((Output!D131/12-INT(Output!D131/12))*12),1/8),fract[],2,FALSE))&amp;"''","")</f>
        <v>0'-0 ''</v>
      </c>
      <c r="E132" s="15" t="str">
        <f>IFERROR(INT(Output!E131)&amp;" "&amp;IF(MROUND((Output!E131-INT(Output!E131)),1/8)=0,"",VLOOKUP(MROUND((Output!E131-INT(Output!E131)),1/8),fract[],2,FALSE))&amp;"''","")</f>
        <v>0 ''</v>
      </c>
      <c r="F132" s="14"/>
      <c r="G132" s="14"/>
      <c r="H132" s="15">
        <f t="shared" si="2"/>
        <v>0</v>
      </c>
      <c r="I132" s="15">
        <f t="shared" si="3"/>
        <v>0</v>
      </c>
      <c r="J132" s="18">
        <f>Output!F131</f>
        <v>0</v>
      </c>
      <c r="K132" s="18">
        <f>Output!G131</f>
        <v>0</v>
      </c>
    </row>
    <row r="133" spans="1:11" ht="18" customHeight="1" x14ac:dyDescent="0.25">
      <c r="A133" s="15">
        <f>Output!A132</f>
        <v>0</v>
      </c>
      <c r="B133" s="15">
        <f>Output!B132</f>
        <v>0</v>
      </c>
      <c r="C133" s="15" t="str">
        <f>IFERROR(INT(Output!C132)&amp;" "&amp;IF(MROUND((Output!C132-INT(Output!C132)),1/8)=0,"",VLOOKUP(MROUND((Output!C132-INT(Output!C132)),1/8),fract[],2,FALSE))&amp;"''","")</f>
        <v>0 ''</v>
      </c>
      <c r="D133" s="15" t="str">
        <f>IFERROR(ROUND(INT(Output!D132)/12,0)&amp;"'-"&amp;INT((Output!D132/12-INT(Output!D132/12))*12)&amp;" "&amp;IF(MROUND((Output!D132/12-INT(Output!D132/12))*12-INT((Output!D132/12-INT(Output!D132/12))*12),1/8)=0,"",VLOOKUP(MROUND((Output!D132/12-INT(Output!D132/12))*12-INT((Output!D132/12-INT(Output!D132/12))*12),1/8),fract[],2,FALSE))&amp;"''","")</f>
        <v>0'-0 ''</v>
      </c>
      <c r="E133" s="15" t="str">
        <f>IFERROR(INT(Output!E132)&amp;" "&amp;IF(MROUND((Output!E132-INT(Output!E132)),1/8)=0,"",VLOOKUP(MROUND((Output!E132-INT(Output!E132)),1/8),fract[],2,FALSE))&amp;"''","")</f>
        <v>0 ''</v>
      </c>
      <c r="F133" s="14"/>
      <c r="G133" s="14"/>
      <c r="H133" s="15">
        <f t="shared" ref="H133:H178" si="4">A133</f>
        <v>0</v>
      </c>
      <c r="I133" s="15">
        <f t="shared" ref="I133:I178" si="5">B133</f>
        <v>0</v>
      </c>
      <c r="J133" s="18">
        <f>Output!F132</f>
        <v>0</v>
      </c>
      <c r="K133" s="18">
        <f>Output!G132</f>
        <v>0</v>
      </c>
    </row>
    <row r="134" spans="1:11" ht="18" customHeight="1" x14ac:dyDescent="0.25">
      <c r="A134" s="15">
        <f>Output!A133</f>
        <v>0</v>
      </c>
      <c r="B134" s="15">
        <f>Output!B133</f>
        <v>0</v>
      </c>
      <c r="C134" s="15" t="str">
        <f>IFERROR(INT(Output!C133)&amp;" "&amp;IF(MROUND((Output!C133-INT(Output!C133)),1/8)=0,"",VLOOKUP(MROUND((Output!C133-INT(Output!C133)),1/8),fract[],2,FALSE))&amp;"''","")</f>
        <v>0 ''</v>
      </c>
      <c r="D134" s="15" t="str">
        <f>IFERROR(ROUND(INT(Output!D133)/12,0)&amp;"'-"&amp;INT((Output!D133/12-INT(Output!D133/12))*12)&amp;" "&amp;IF(MROUND((Output!D133/12-INT(Output!D133/12))*12-INT((Output!D133/12-INT(Output!D133/12))*12),1/8)=0,"",VLOOKUP(MROUND((Output!D133/12-INT(Output!D133/12))*12-INT((Output!D133/12-INT(Output!D133/12))*12),1/8),fract[],2,FALSE))&amp;"''","")</f>
        <v>0'-0 ''</v>
      </c>
      <c r="E134" s="15" t="str">
        <f>IFERROR(INT(Output!E133)&amp;" "&amp;IF(MROUND((Output!E133-INT(Output!E133)),1/8)=0,"",VLOOKUP(MROUND((Output!E133-INT(Output!E133)),1/8),fract[],2,FALSE))&amp;"''","")</f>
        <v>0 ''</v>
      </c>
      <c r="F134" s="14"/>
      <c r="G134" s="14"/>
      <c r="H134" s="15">
        <f t="shared" si="4"/>
        <v>0</v>
      </c>
      <c r="I134" s="15">
        <f t="shared" si="5"/>
        <v>0</v>
      </c>
      <c r="J134" s="18">
        <f>Output!F133</f>
        <v>0</v>
      </c>
      <c r="K134" s="18">
        <f>Output!G133</f>
        <v>0</v>
      </c>
    </row>
    <row r="135" spans="1:11" ht="18" customHeight="1" x14ac:dyDescent="0.25">
      <c r="A135" s="15">
        <f>Output!A134</f>
        <v>0</v>
      </c>
      <c r="B135" s="15">
        <f>Output!B134</f>
        <v>0</v>
      </c>
      <c r="C135" s="15" t="str">
        <f>IFERROR(INT(Output!C134)&amp;" "&amp;IF(MROUND((Output!C134-INT(Output!C134)),1/8)=0,"",VLOOKUP(MROUND((Output!C134-INT(Output!C134)),1/8),fract[],2,FALSE))&amp;"''","")</f>
        <v>0 ''</v>
      </c>
      <c r="D135" s="15" t="str">
        <f>IFERROR(ROUND(INT(Output!D134)/12,0)&amp;"'-"&amp;INT((Output!D134/12-INT(Output!D134/12))*12)&amp;" "&amp;IF(MROUND((Output!D134/12-INT(Output!D134/12))*12-INT((Output!D134/12-INT(Output!D134/12))*12),1/8)=0,"",VLOOKUP(MROUND((Output!D134/12-INT(Output!D134/12))*12-INT((Output!D134/12-INT(Output!D134/12))*12),1/8),fract[],2,FALSE))&amp;"''","")</f>
        <v>0'-0 ''</v>
      </c>
      <c r="E135" s="15" t="str">
        <f>IFERROR(INT(Output!E134)&amp;" "&amp;IF(MROUND((Output!E134-INT(Output!E134)),1/8)=0,"",VLOOKUP(MROUND((Output!E134-INT(Output!E134)),1/8),fract[],2,FALSE))&amp;"''","")</f>
        <v>0 ''</v>
      </c>
      <c r="F135" s="14"/>
      <c r="G135" s="14"/>
      <c r="H135" s="15">
        <f t="shared" si="4"/>
        <v>0</v>
      </c>
      <c r="I135" s="15">
        <f t="shared" si="5"/>
        <v>0</v>
      </c>
      <c r="J135" s="18">
        <f>Output!F134</f>
        <v>0</v>
      </c>
      <c r="K135" s="18">
        <f>Output!G134</f>
        <v>0</v>
      </c>
    </row>
    <row r="136" spans="1:11" ht="18" customHeight="1" x14ac:dyDescent="0.25">
      <c r="A136" s="15">
        <f>Output!A135</f>
        <v>0</v>
      </c>
      <c r="B136" s="15">
        <f>Output!B135</f>
        <v>0</v>
      </c>
      <c r="C136" s="15" t="str">
        <f>IFERROR(INT(Output!C135)&amp;" "&amp;IF(MROUND((Output!C135-INT(Output!C135)),1/8)=0,"",VLOOKUP(MROUND((Output!C135-INT(Output!C135)),1/8),fract[],2,FALSE))&amp;"''","")</f>
        <v>0 ''</v>
      </c>
      <c r="D136" s="15" t="str">
        <f>IFERROR(ROUND(INT(Output!D135)/12,0)&amp;"'-"&amp;INT((Output!D135/12-INT(Output!D135/12))*12)&amp;" "&amp;IF(MROUND((Output!D135/12-INT(Output!D135/12))*12-INT((Output!D135/12-INT(Output!D135/12))*12),1/8)=0,"",VLOOKUP(MROUND((Output!D135/12-INT(Output!D135/12))*12-INT((Output!D135/12-INT(Output!D135/12))*12),1/8),fract[],2,FALSE))&amp;"''","")</f>
        <v>0'-0 ''</v>
      </c>
      <c r="E136" s="15" t="str">
        <f>IFERROR(INT(Output!E135)&amp;" "&amp;IF(MROUND((Output!E135-INT(Output!E135)),1/8)=0,"",VLOOKUP(MROUND((Output!E135-INT(Output!E135)),1/8),fract[],2,FALSE))&amp;"''","")</f>
        <v>0 ''</v>
      </c>
      <c r="F136" s="14"/>
      <c r="G136" s="14"/>
      <c r="H136" s="15">
        <f t="shared" si="4"/>
        <v>0</v>
      </c>
      <c r="I136" s="15">
        <f t="shared" si="5"/>
        <v>0</v>
      </c>
      <c r="J136" s="18">
        <f>Output!F135</f>
        <v>0</v>
      </c>
      <c r="K136" s="18">
        <f>Output!G135</f>
        <v>0</v>
      </c>
    </row>
    <row r="137" spans="1:11" ht="18" customHeight="1" x14ac:dyDescent="0.25">
      <c r="A137" s="15">
        <f>Output!A136</f>
        <v>0</v>
      </c>
      <c r="B137" s="15">
        <f>Output!B136</f>
        <v>0</v>
      </c>
      <c r="C137" s="15" t="str">
        <f>IFERROR(INT(Output!C136)&amp;" "&amp;IF(MROUND((Output!C136-INT(Output!C136)),1/8)=0,"",VLOOKUP(MROUND((Output!C136-INT(Output!C136)),1/8),fract[],2,FALSE))&amp;"''","")</f>
        <v>0 ''</v>
      </c>
      <c r="D137" s="15" t="str">
        <f>IFERROR(ROUND(INT(Output!D136)/12,0)&amp;"'-"&amp;INT((Output!D136/12-INT(Output!D136/12))*12)&amp;" "&amp;IF(MROUND((Output!D136/12-INT(Output!D136/12))*12-INT((Output!D136/12-INT(Output!D136/12))*12),1/8)=0,"",VLOOKUP(MROUND((Output!D136/12-INT(Output!D136/12))*12-INT((Output!D136/12-INT(Output!D136/12))*12),1/8),fract[],2,FALSE))&amp;"''","")</f>
        <v>0'-0 ''</v>
      </c>
      <c r="E137" s="15" t="str">
        <f>IFERROR(INT(Output!E136)&amp;" "&amp;IF(MROUND((Output!E136-INT(Output!E136)),1/8)=0,"",VLOOKUP(MROUND((Output!E136-INT(Output!E136)),1/8),fract[],2,FALSE))&amp;"''","")</f>
        <v>0 ''</v>
      </c>
      <c r="F137" s="14"/>
      <c r="G137" s="14"/>
      <c r="H137" s="15">
        <f t="shared" si="4"/>
        <v>0</v>
      </c>
      <c r="I137" s="15">
        <f t="shared" si="5"/>
        <v>0</v>
      </c>
      <c r="J137" s="18">
        <f>Output!F136</f>
        <v>0</v>
      </c>
      <c r="K137" s="18">
        <f>Output!G136</f>
        <v>0</v>
      </c>
    </row>
    <row r="138" spans="1:11" ht="18" customHeight="1" x14ac:dyDescent="0.25">
      <c r="A138" s="15">
        <f>Output!A137</f>
        <v>0</v>
      </c>
      <c r="B138" s="15">
        <f>Output!B137</f>
        <v>0</v>
      </c>
      <c r="C138" s="15" t="str">
        <f>IFERROR(INT(Output!C137)&amp;" "&amp;IF(MROUND((Output!C137-INT(Output!C137)),1/8)=0,"",VLOOKUP(MROUND((Output!C137-INT(Output!C137)),1/8),fract[],2,FALSE))&amp;"''","")</f>
        <v>0 ''</v>
      </c>
      <c r="D138" s="15" t="str">
        <f>IFERROR(ROUND(INT(Output!D137)/12,0)&amp;"'-"&amp;INT((Output!D137/12-INT(Output!D137/12))*12)&amp;" "&amp;IF(MROUND((Output!D137/12-INT(Output!D137/12))*12-INT((Output!D137/12-INT(Output!D137/12))*12),1/8)=0,"",VLOOKUP(MROUND((Output!D137/12-INT(Output!D137/12))*12-INT((Output!D137/12-INT(Output!D137/12))*12),1/8),fract[],2,FALSE))&amp;"''","")</f>
        <v>0'-0 ''</v>
      </c>
      <c r="E138" s="15" t="str">
        <f>IFERROR(INT(Output!E137)&amp;" "&amp;IF(MROUND((Output!E137-INT(Output!E137)),1/8)=0,"",VLOOKUP(MROUND((Output!E137-INT(Output!E137)),1/8),fract[],2,FALSE))&amp;"''","")</f>
        <v>0 ''</v>
      </c>
      <c r="F138" s="14"/>
      <c r="G138" s="14"/>
      <c r="H138" s="15">
        <f t="shared" si="4"/>
        <v>0</v>
      </c>
      <c r="I138" s="15">
        <f t="shared" si="5"/>
        <v>0</v>
      </c>
      <c r="J138" s="18">
        <f>Output!F137</f>
        <v>0</v>
      </c>
      <c r="K138" s="18">
        <f>Output!G137</f>
        <v>0</v>
      </c>
    </row>
    <row r="139" spans="1:11" ht="18" customHeight="1" x14ac:dyDescent="0.25">
      <c r="A139" s="15">
        <f>Output!A138</f>
        <v>0</v>
      </c>
      <c r="B139" s="15">
        <f>Output!B138</f>
        <v>0</v>
      </c>
      <c r="C139" s="15" t="str">
        <f>IFERROR(INT(Output!C138)&amp;" "&amp;IF(MROUND((Output!C138-INT(Output!C138)),1/8)=0,"",VLOOKUP(MROUND((Output!C138-INT(Output!C138)),1/8),fract[],2,FALSE))&amp;"''","")</f>
        <v>0 ''</v>
      </c>
      <c r="D139" s="15" t="str">
        <f>IFERROR(ROUND(INT(Output!D138)/12,0)&amp;"'-"&amp;INT((Output!D138/12-INT(Output!D138/12))*12)&amp;" "&amp;IF(MROUND((Output!D138/12-INT(Output!D138/12))*12-INT((Output!D138/12-INT(Output!D138/12))*12),1/8)=0,"",VLOOKUP(MROUND((Output!D138/12-INT(Output!D138/12))*12-INT((Output!D138/12-INT(Output!D138/12))*12),1/8),fract[],2,FALSE))&amp;"''","")</f>
        <v>0'-0 ''</v>
      </c>
      <c r="E139" s="15" t="str">
        <f>IFERROR(INT(Output!E138)&amp;" "&amp;IF(MROUND((Output!E138-INT(Output!E138)),1/8)=0,"",VLOOKUP(MROUND((Output!E138-INT(Output!E138)),1/8),fract[],2,FALSE))&amp;"''","")</f>
        <v>0 ''</v>
      </c>
      <c r="F139" s="14"/>
      <c r="G139" s="14"/>
      <c r="H139" s="15">
        <f t="shared" si="4"/>
        <v>0</v>
      </c>
      <c r="I139" s="15">
        <f t="shared" si="5"/>
        <v>0</v>
      </c>
      <c r="J139" s="18">
        <f>Output!F138</f>
        <v>0</v>
      </c>
      <c r="K139" s="18">
        <f>Output!G138</f>
        <v>0</v>
      </c>
    </row>
    <row r="140" spans="1:11" ht="18" customHeight="1" x14ac:dyDescent="0.25">
      <c r="A140" s="15">
        <f>Output!A139</f>
        <v>0</v>
      </c>
      <c r="B140" s="15">
        <f>Output!B139</f>
        <v>0</v>
      </c>
      <c r="C140" s="15" t="str">
        <f>IFERROR(INT(Output!C139)&amp;" "&amp;IF(MROUND((Output!C139-INT(Output!C139)),1/8)=0,"",VLOOKUP(MROUND((Output!C139-INT(Output!C139)),1/8),fract[],2,FALSE))&amp;"''","")</f>
        <v>0 ''</v>
      </c>
      <c r="D140" s="15" t="str">
        <f>IFERROR(ROUND(INT(Output!D139)/12,0)&amp;"'-"&amp;INT((Output!D139/12-INT(Output!D139/12))*12)&amp;" "&amp;IF(MROUND((Output!D139/12-INT(Output!D139/12))*12-INT((Output!D139/12-INT(Output!D139/12))*12),1/8)=0,"",VLOOKUP(MROUND((Output!D139/12-INT(Output!D139/12))*12-INT((Output!D139/12-INT(Output!D139/12))*12),1/8),fract[],2,FALSE))&amp;"''","")</f>
        <v>0'-0 ''</v>
      </c>
      <c r="E140" s="15" t="str">
        <f>IFERROR(INT(Output!E139)&amp;" "&amp;IF(MROUND((Output!E139-INT(Output!E139)),1/8)=0,"",VLOOKUP(MROUND((Output!E139-INT(Output!E139)),1/8),fract[],2,FALSE))&amp;"''","")</f>
        <v>0 ''</v>
      </c>
      <c r="F140" s="14"/>
      <c r="G140" s="14"/>
      <c r="H140" s="15">
        <f t="shared" si="4"/>
        <v>0</v>
      </c>
      <c r="I140" s="15">
        <f t="shared" si="5"/>
        <v>0</v>
      </c>
      <c r="J140" s="18">
        <f>Output!F139</f>
        <v>0</v>
      </c>
      <c r="K140" s="18">
        <f>Output!G139</f>
        <v>0</v>
      </c>
    </row>
    <row r="141" spans="1:11" ht="18" customHeight="1" x14ac:dyDescent="0.25">
      <c r="A141" s="15">
        <f>Output!A140</f>
        <v>0</v>
      </c>
      <c r="B141" s="15">
        <f>Output!B140</f>
        <v>0</v>
      </c>
      <c r="C141" s="15" t="str">
        <f>IFERROR(INT(Output!C140)&amp;" "&amp;IF(MROUND((Output!C140-INT(Output!C140)),1/8)=0,"",VLOOKUP(MROUND((Output!C140-INT(Output!C140)),1/8),fract[],2,FALSE))&amp;"''","")</f>
        <v>0 ''</v>
      </c>
      <c r="D141" s="15" t="str">
        <f>IFERROR(ROUND(INT(Output!D140)/12,0)&amp;"'-"&amp;INT((Output!D140/12-INT(Output!D140/12))*12)&amp;" "&amp;IF(MROUND((Output!D140/12-INT(Output!D140/12))*12-INT((Output!D140/12-INT(Output!D140/12))*12),1/8)=0,"",VLOOKUP(MROUND((Output!D140/12-INT(Output!D140/12))*12-INT((Output!D140/12-INT(Output!D140/12))*12),1/8),fract[],2,FALSE))&amp;"''","")</f>
        <v>0'-0 ''</v>
      </c>
      <c r="E141" s="15" t="str">
        <f>IFERROR(INT(Output!E140)&amp;" "&amp;IF(MROUND((Output!E140-INT(Output!E140)),1/8)=0,"",VLOOKUP(MROUND((Output!E140-INT(Output!E140)),1/8),fract[],2,FALSE))&amp;"''","")</f>
        <v>0 ''</v>
      </c>
      <c r="F141" s="14"/>
      <c r="G141" s="14"/>
      <c r="H141" s="15">
        <f t="shared" si="4"/>
        <v>0</v>
      </c>
      <c r="I141" s="15">
        <f t="shared" si="5"/>
        <v>0</v>
      </c>
      <c r="J141" s="18">
        <f>Output!F140</f>
        <v>0</v>
      </c>
      <c r="K141" s="18">
        <f>Output!G140</f>
        <v>0</v>
      </c>
    </row>
    <row r="142" spans="1:11" ht="18" customHeight="1" x14ac:dyDescent="0.25">
      <c r="A142" s="15">
        <f>Output!A141</f>
        <v>0</v>
      </c>
      <c r="B142" s="15">
        <f>Output!B141</f>
        <v>0</v>
      </c>
      <c r="C142" s="15" t="str">
        <f>IFERROR(INT(Output!C141)&amp;" "&amp;IF(MROUND((Output!C141-INT(Output!C141)),1/8)=0,"",VLOOKUP(MROUND((Output!C141-INT(Output!C141)),1/8),fract[],2,FALSE))&amp;"''","")</f>
        <v>0 ''</v>
      </c>
      <c r="D142" s="15" t="str">
        <f>IFERROR(ROUND(INT(Output!D141)/12,0)&amp;"'-"&amp;INT((Output!D141/12-INT(Output!D141/12))*12)&amp;" "&amp;IF(MROUND((Output!D141/12-INT(Output!D141/12))*12-INT((Output!D141/12-INT(Output!D141/12))*12),1/8)=0,"",VLOOKUP(MROUND((Output!D141/12-INT(Output!D141/12))*12-INT((Output!D141/12-INT(Output!D141/12))*12),1/8),fract[],2,FALSE))&amp;"''","")</f>
        <v>0'-0 ''</v>
      </c>
      <c r="E142" s="15" t="str">
        <f>IFERROR(INT(Output!E141)&amp;" "&amp;IF(MROUND((Output!E141-INT(Output!E141)),1/8)=0,"",VLOOKUP(MROUND((Output!E141-INT(Output!E141)),1/8),fract[],2,FALSE))&amp;"''","")</f>
        <v>0 ''</v>
      </c>
      <c r="F142" s="14"/>
      <c r="G142" s="14"/>
      <c r="H142" s="15">
        <f t="shared" si="4"/>
        <v>0</v>
      </c>
      <c r="I142" s="15">
        <f t="shared" si="5"/>
        <v>0</v>
      </c>
      <c r="J142" s="18">
        <f>Output!F141</f>
        <v>0</v>
      </c>
      <c r="K142" s="18">
        <f>Output!G141</f>
        <v>0</v>
      </c>
    </row>
    <row r="143" spans="1:11" ht="18" customHeight="1" x14ac:dyDescent="0.25">
      <c r="A143" s="15">
        <f>Output!A142</f>
        <v>0</v>
      </c>
      <c r="B143" s="15">
        <f>Output!B142</f>
        <v>0</v>
      </c>
      <c r="C143" s="15" t="str">
        <f>IFERROR(INT(Output!C142)&amp;" "&amp;IF(MROUND((Output!C142-INT(Output!C142)),1/8)=0,"",VLOOKUP(MROUND((Output!C142-INT(Output!C142)),1/8),fract[],2,FALSE))&amp;"''","")</f>
        <v>0 ''</v>
      </c>
      <c r="D143" s="15" t="str">
        <f>IFERROR(ROUND(INT(Output!D142)/12,0)&amp;"'-"&amp;INT((Output!D142/12-INT(Output!D142/12))*12)&amp;" "&amp;IF(MROUND((Output!D142/12-INT(Output!D142/12))*12-INT((Output!D142/12-INT(Output!D142/12))*12),1/8)=0,"",VLOOKUP(MROUND((Output!D142/12-INT(Output!D142/12))*12-INT((Output!D142/12-INT(Output!D142/12))*12),1/8),fract[],2,FALSE))&amp;"''","")</f>
        <v>0'-0 ''</v>
      </c>
      <c r="E143" s="15" t="str">
        <f>IFERROR(INT(Output!E142)&amp;" "&amp;IF(MROUND((Output!E142-INT(Output!E142)),1/8)=0,"",VLOOKUP(MROUND((Output!E142-INT(Output!E142)),1/8),fract[],2,FALSE))&amp;"''","")</f>
        <v>0 ''</v>
      </c>
      <c r="F143" s="14"/>
      <c r="G143" s="14"/>
      <c r="H143" s="15">
        <f t="shared" si="4"/>
        <v>0</v>
      </c>
      <c r="I143" s="15">
        <f t="shared" si="5"/>
        <v>0</v>
      </c>
      <c r="J143" s="18">
        <f>Output!F142</f>
        <v>0</v>
      </c>
      <c r="K143" s="18">
        <f>Output!G142</f>
        <v>0</v>
      </c>
    </row>
    <row r="144" spans="1:11" ht="18" customHeight="1" x14ac:dyDescent="0.25">
      <c r="A144" s="15">
        <f>Output!A143</f>
        <v>0</v>
      </c>
      <c r="B144" s="15">
        <f>Output!B143</f>
        <v>0</v>
      </c>
      <c r="C144" s="15" t="str">
        <f>IFERROR(INT(Output!C143)&amp;" "&amp;IF(MROUND((Output!C143-INT(Output!C143)),1/8)=0,"",VLOOKUP(MROUND((Output!C143-INT(Output!C143)),1/8),fract[],2,FALSE))&amp;"''","")</f>
        <v>0 ''</v>
      </c>
      <c r="D144" s="15" t="str">
        <f>IFERROR(ROUND(INT(Output!D143)/12,0)&amp;"'-"&amp;INT((Output!D143/12-INT(Output!D143/12))*12)&amp;" "&amp;IF(MROUND((Output!D143/12-INT(Output!D143/12))*12-INT((Output!D143/12-INT(Output!D143/12))*12),1/8)=0,"",VLOOKUP(MROUND((Output!D143/12-INT(Output!D143/12))*12-INT((Output!D143/12-INT(Output!D143/12))*12),1/8),fract[],2,FALSE))&amp;"''","")</f>
        <v>0'-0 ''</v>
      </c>
      <c r="E144" s="15" t="str">
        <f>IFERROR(INT(Output!E143)&amp;" "&amp;IF(MROUND((Output!E143-INT(Output!E143)),1/8)=0,"",VLOOKUP(MROUND((Output!E143-INT(Output!E143)),1/8),fract[],2,FALSE))&amp;"''","")</f>
        <v>0 ''</v>
      </c>
      <c r="F144" s="14"/>
      <c r="G144" s="14"/>
      <c r="H144" s="15">
        <f t="shared" si="4"/>
        <v>0</v>
      </c>
      <c r="I144" s="15">
        <f t="shared" si="5"/>
        <v>0</v>
      </c>
      <c r="J144" s="18">
        <f>Output!F143</f>
        <v>0</v>
      </c>
      <c r="K144" s="18">
        <f>Output!G143</f>
        <v>0</v>
      </c>
    </row>
    <row r="145" spans="1:11" ht="18" customHeight="1" x14ac:dyDescent="0.25">
      <c r="A145" s="15">
        <f>Output!A144</f>
        <v>0</v>
      </c>
      <c r="B145" s="15">
        <f>Output!B144</f>
        <v>0</v>
      </c>
      <c r="C145" s="15" t="str">
        <f>IFERROR(INT(Output!C144)&amp;" "&amp;IF(MROUND((Output!C144-INT(Output!C144)),1/8)=0,"",VLOOKUP(MROUND((Output!C144-INT(Output!C144)),1/8),fract[],2,FALSE))&amp;"''","")</f>
        <v>0 ''</v>
      </c>
      <c r="D145" s="15" t="str">
        <f>IFERROR(ROUND(INT(Output!D144)/12,0)&amp;"'-"&amp;INT((Output!D144/12-INT(Output!D144/12))*12)&amp;" "&amp;IF(MROUND((Output!D144/12-INT(Output!D144/12))*12-INT((Output!D144/12-INT(Output!D144/12))*12),1/8)=0,"",VLOOKUP(MROUND((Output!D144/12-INT(Output!D144/12))*12-INT((Output!D144/12-INT(Output!D144/12))*12),1/8),fract[],2,FALSE))&amp;"''","")</f>
        <v>0'-0 ''</v>
      </c>
      <c r="E145" s="15" t="str">
        <f>IFERROR(INT(Output!E144)&amp;" "&amp;IF(MROUND((Output!E144-INT(Output!E144)),1/8)=0,"",VLOOKUP(MROUND((Output!E144-INT(Output!E144)),1/8),fract[],2,FALSE))&amp;"''","")</f>
        <v>0 ''</v>
      </c>
      <c r="F145" s="14"/>
      <c r="G145" s="14"/>
      <c r="H145" s="15">
        <f t="shared" si="4"/>
        <v>0</v>
      </c>
      <c r="I145" s="15">
        <f t="shared" si="5"/>
        <v>0</v>
      </c>
      <c r="J145" s="18">
        <f>Output!F144</f>
        <v>0</v>
      </c>
      <c r="K145" s="18">
        <f>Output!G144</f>
        <v>0</v>
      </c>
    </row>
    <row r="146" spans="1:11" ht="18" customHeight="1" x14ac:dyDescent="0.25">
      <c r="A146" s="15">
        <f>Output!A145</f>
        <v>0</v>
      </c>
      <c r="B146" s="15">
        <f>Output!B145</f>
        <v>0</v>
      </c>
      <c r="C146" s="15" t="str">
        <f>IFERROR(INT(Output!C145)&amp;" "&amp;IF(MROUND((Output!C145-INT(Output!C145)),1/8)=0,"",VLOOKUP(MROUND((Output!C145-INT(Output!C145)),1/8),fract[],2,FALSE))&amp;"''","")</f>
        <v>0 ''</v>
      </c>
      <c r="D146" s="15" t="str">
        <f>IFERROR(ROUND(INT(Output!D145)/12,0)&amp;"'-"&amp;INT((Output!D145/12-INT(Output!D145/12))*12)&amp;" "&amp;IF(MROUND((Output!D145/12-INT(Output!D145/12))*12-INT((Output!D145/12-INT(Output!D145/12))*12),1/8)=0,"",VLOOKUP(MROUND((Output!D145/12-INT(Output!D145/12))*12-INT((Output!D145/12-INT(Output!D145/12))*12),1/8),fract[],2,FALSE))&amp;"''","")</f>
        <v>0'-0 ''</v>
      </c>
      <c r="E146" s="15" t="str">
        <f>IFERROR(INT(Output!E145)&amp;" "&amp;IF(MROUND((Output!E145-INT(Output!E145)),1/8)=0,"",VLOOKUP(MROUND((Output!E145-INT(Output!E145)),1/8),fract[],2,FALSE))&amp;"''","")</f>
        <v>0 ''</v>
      </c>
      <c r="F146" s="14"/>
      <c r="G146" s="14"/>
      <c r="H146" s="15">
        <f t="shared" si="4"/>
        <v>0</v>
      </c>
      <c r="I146" s="15">
        <f t="shared" si="5"/>
        <v>0</v>
      </c>
      <c r="J146" s="18">
        <f>Output!F145</f>
        <v>0</v>
      </c>
      <c r="K146" s="18">
        <f>Output!G145</f>
        <v>0</v>
      </c>
    </row>
    <row r="147" spans="1:11" ht="18" customHeight="1" x14ac:dyDescent="0.25">
      <c r="A147" s="15">
        <f>Output!A146</f>
        <v>0</v>
      </c>
      <c r="B147" s="15">
        <f>Output!B146</f>
        <v>0</v>
      </c>
      <c r="C147" s="15" t="str">
        <f>IFERROR(INT(Output!C146)&amp;" "&amp;IF(MROUND((Output!C146-INT(Output!C146)),1/8)=0,"",VLOOKUP(MROUND((Output!C146-INT(Output!C146)),1/8),fract[],2,FALSE))&amp;"''","")</f>
        <v>0 ''</v>
      </c>
      <c r="D147" s="15" t="str">
        <f>IFERROR(ROUND(INT(Output!D146)/12,0)&amp;"'-"&amp;INT((Output!D146/12-INT(Output!D146/12))*12)&amp;" "&amp;IF(MROUND((Output!D146/12-INT(Output!D146/12))*12-INT((Output!D146/12-INT(Output!D146/12))*12),1/8)=0,"",VLOOKUP(MROUND((Output!D146/12-INT(Output!D146/12))*12-INT((Output!D146/12-INT(Output!D146/12))*12),1/8),fract[],2,FALSE))&amp;"''","")</f>
        <v>0'-0 ''</v>
      </c>
      <c r="E147" s="15" t="str">
        <f>IFERROR(INT(Output!E146)&amp;" "&amp;IF(MROUND((Output!E146-INT(Output!E146)),1/8)=0,"",VLOOKUP(MROUND((Output!E146-INT(Output!E146)),1/8),fract[],2,FALSE))&amp;"''","")</f>
        <v>0 ''</v>
      </c>
      <c r="F147" s="14"/>
      <c r="G147" s="14"/>
      <c r="H147" s="15">
        <f t="shared" si="4"/>
        <v>0</v>
      </c>
      <c r="I147" s="15">
        <f t="shared" si="5"/>
        <v>0</v>
      </c>
      <c r="J147" s="18">
        <f>Output!F146</f>
        <v>0</v>
      </c>
      <c r="K147" s="18">
        <f>Output!G146</f>
        <v>0</v>
      </c>
    </row>
    <row r="148" spans="1:11" ht="18" customHeight="1" x14ac:dyDescent="0.25">
      <c r="A148" s="15">
        <f>Output!A147</f>
        <v>0</v>
      </c>
      <c r="B148" s="15">
        <f>Output!B147</f>
        <v>0</v>
      </c>
      <c r="C148" s="15" t="str">
        <f>IFERROR(INT(Output!C147)&amp;" "&amp;IF(MROUND((Output!C147-INT(Output!C147)),1/8)=0,"",VLOOKUP(MROUND((Output!C147-INT(Output!C147)),1/8),fract[],2,FALSE))&amp;"''","")</f>
        <v>0 ''</v>
      </c>
      <c r="D148" s="15" t="str">
        <f>IFERROR(ROUND(INT(Output!D147)/12,0)&amp;"'-"&amp;INT((Output!D147/12-INT(Output!D147/12))*12)&amp;" "&amp;IF(MROUND((Output!D147/12-INT(Output!D147/12))*12-INT((Output!D147/12-INT(Output!D147/12))*12),1/8)=0,"",VLOOKUP(MROUND((Output!D147/12-INT(Output!D147/12))*12-INT((Output!D147/12-INT(Output!D147/12))*12),1/8),fract[],2,FALSE))&amp;"''","")</f>
        <v>0'-0 ''</v>
      </c>
      <c r="E148" s="15" t="str">
        <f>IFERROR(INT(Output!E147)&amp;" "&amp;IF(MROUND((Output!E147-INT(Output!E147)),1/8)=0,"",VLOOKUP(MROUND((Output!E147-INT(Output!E147)),1/8),fract[],2,FALSE))&amp;"''","")</f>
        <v>0 ''</v>
      </c>
      <c r="F148" s="14"/>
      <c r="G148" s="14"/>
      <c r="H148" s="15">
        <f t="shared" si="4"/>
        <v>0</v>
      </c>
      <c r="I148" s="15">
        <f t="shared" si="5"/>
        <v>0</v>
      </c>
      <c r="J148" s="18">
        <f>Output!F147</f>
        <v>0</v>
      </c>
      <c r="K148" s="18">
        <f>Output!G147</f>
        <v>0</v>
      </c>
    </row>
    <row r="149" spans="1:11" ht="18" customHeight="1" x14ac:dyDescent="0.25">
      <c r="A149" s="15">
        <f>Output!A148</f>
        <v>0</v>
      </c>
      <c r="B149" s="15">
        <f>Output!B148</f>
        <v>0</v>
      </c>
      <c r="C149" s="15" t="str">
        <f>IFERROR(INT(Output!C148)&amp;" "&amp;IF(MROUND((Output!C148-INT(Output!C148)),1/8)=0,"",VLOOKUP(MROUND((Output!C148-INT(Output!C148)),1/8),fract[],2,FALSE))&amp;"''","")</f>
        <v>0 ''</v>
      </c>
      <c r="D149" s="15" t="str">
        <f>IFERROR(ROUND(INT(Output!D148)/12,0)&amp;"'-"&amp;INT((Output!D148/12-INT(Output!D148/12))*12)&amp;" "&amp;IF(MROUND((Output!D148/12-INT(Output!D148/12))*12-INT((Output!D148/12-INT(Output!D148/12))*12),1/8)=0,"",VLOOKUP(MROUND((Output!D148/12-INT(Output!D148/12))*12-INT((Output!D148/12-INT(Output!D148/12))*12),1/8),fract[],2,FALSE))&amp;"''","")</f>
        <v>0'-0 ''</v>
      </c>
      <c r="E149" s="15" t="str">
        <f>IFERROR(INT(Output!E148)&amp;" "&amp;IF(MROUND((Output!E148-INT(Output!E148)),1/8)=0,"",VLOOKUP(MROUND((Output!E148-INT(Output!E148)),1/8),fract[],2,FALSE))&amp;"''","")</f>
        <v>0 ''</v>
      </c>
      <c r="F149" s="14"/>
      <c r="G149" s="14"/>
      <c r="H149" s="15">
        <f t="shared" si="4"/>
        <v>0</v>
      </c>
      <c r="I149" s="15">
        <f t="shared" si="5"/>
        <v>0</v>
      </c>
      <c r="J149" s="18">
        <f>Output!F148</f>
        <v>0</v>
      </c>
      <c r="K149" s="18">
        <f>Output!G148</f>
        <v>0</v>
      </c>
    </row>
    <row r="150" spans="1:11" ht="18" customHeight="1" x14ac:dyDescent="0.25">
      <c r="A150" s="15">
        <f>Output!A149</f>
        <v>0</v>
      </c>
      <c r="B150" s="15">
        <f>Output!B149</f>
        <v>0</v>
      </c>
      <c r="C150" s="15" t="str">
        <f>IFERROR(INT(Output!C149)&amp;" "&amp;IF(MROUND((Output!C149-INT(Output!C149)),1/8)=0,"",VLOOKUP(MROUND((Output!C149-INT(Output!C149)),1/8),fract[],2,FALSE))&amp;"''","")</f>
        <v>0 ''</v>
      </c>
      <c r="D150" s="15" t="str">
        <f>IFERROR(ROUND(INT(Output!D149)/12,0)&amp;"'-"&amp;INT((Output!D149/12-INT(Output!D149/12))*12)&amp;" "&amp;IF(MROUND((Output!D149/12-INT(Output!D149/12))*12-INT((Output!D149/12-INT(Output!D149/12))*12),1/8)=0,"",VLOOKUP(MROUND((Output!D149/12-INT(Output!D149/12))*12-INT((Output!D149/12-INT(Output!D149/12))*12),1/8),fract[],2,FALSE))&amp;"''","")</f>
        <v>0'-0 ''</v>
      </c>
      <c r="E150" s="15" t="str">
        <f>IFERROR(INT(Output!E149)&amp;" "&amp;IF(MROUND((Output!E149-INT(Output!E149)),1/8)=0,"",VLOOKUP(MROUND((Output!E149-INT(Output!E149)),1/8),fract[],2,FALSE))&amp;"''","")</f>
        <v>0 ''</v>
      </c>
      <c r="F150" s="14"/>
      <c r="G150" s="14"/>
      <c r="H150" s="15">
        <f t="shared" si="4"/>
        <v>0</v>
      </c>
      <c r="I150" s="15">
        <f t="shared" si="5"/>
        <v>0</v>
      </c>
      <c r="J150" s="18">
        <f>Output!F149</f>
        <v>0</v>
      </c>
      <c r="K150" s="18">
        <f>Output!G149</f>
        <v>0</v>
      </c>
    </row>
    <row r="151" spans="1:11" ht="18" customHeight="1" x14ac:dyDescent="0.25">
      <c r="A151" s="15">
        <f>Output!A150</f>
        <v>0</v>
      </c>
      <c r="B151" s="15">
        <f>Output!B150</f>
        <v>0</v>
      </c>
      <c r="C151" s="15" t="str">
        <f>IFERROR(INT(Output!C150)&amp;" "&amp;IF(MROUND((Output!C150-INT(Output!C150)),1/8)=0,"",VLOOKUP(MROUND((Output!C150-INT(Output!C150)),1/8),fract[],2,FALSE))&amp;"''","")</f>
        <v>0 ''</v>
      </c>
      <c r="D151" s="15" t="str">
        <f>IFERROR(ROUND(INT(Output!D150)/12,0)&amp;"'-"&amp;INT((Output!D150/12-INT(Output!D150/12))*12)&amp;" "&amp;IF(MROUND((Output!D150/12-INT(Output!D150/12))*12-INT((Output!D150/12-INT(Output!D150/12))*12),1/8)=0,"",VLOOKUP(MROUND((Output!D150/12-INT(Output!D150/12))*12-INT((Output!D150/12-INT(Output!D150/12))*12),1/8),fract[],2,FALSE))&amp;"''","")</f>
        <v>0'-0 ''</v>
      </c>
      <c r="E151" s="15" t="str">
        <f>IFERROR(INT(Output!E150)&amp;" "&amp;IF(MROUND((Output!E150-INT(Output!E150)),1/8)=0,"",VLOOKUP(MROUND((Output!E150-INT(Output!E150)),1/8),fract[],2,FALSE))&amp;"''","")</f>
        <v>0 ''</v>
      </c>
      <c r="F151" s="14"/>
      <c r="G151" s="14"/>
      <c r="H151" s="15">
        <f t="shared" si="4"/>
        <v>0</v>
      </c>
      <c r="I151" s="15">
        <f t="shared" si="5"/>
        <v>0</v>
      </c>
      <c r="J151" s="18">
        <f>Output!F150</f>
        <v>0</v>
      </c>
      <c r="K151" s="18">
        <f>Output!G150</f>
        <v>0</v>
      </c>
    </row>
    <row r="152" spans="1:11" ht="18" customHeight="1" x14ac:dyDescent="0.25">
      <c r="A152" s="15">
        <f>Output!A151</f>
        <v>0</v>
      </c>
      <c r="B152" s="15">
        <f>Output!B151</f>
        <v>0</v>
      </c>
      <c r="C152" s="15" t="str">
        <f>IFERROR(INT(Output!C151)&amp;" "&amp;IF(MROUND((Output!C151-INT(Output!C151)),1/8)=0,"",VLOOKUP(MROUND((Output!C151-INT(Output!C151)),1/8),fract[],2,FALSE))&amp;"''","")</f>
        <v>0 ''</v>
      </c>
      <c r="D152" s="15" t="str">
        <f>IFERROR(ROUND(INT(Output!D151)/12,0)&amp;"'-"&amp;INT((Output!D151/12-INT(Output!D151/12))*12)&amp;" "&amp;IF(MROUND((Output!D151/12-INT(Output!D151/12))*12-INT((Output!D151/12-INT(Output!D151/12))*12),1/8)=0,"",VLOOKUP(MROUND((Output!D151/12-INT(Output!D151/12))*12-INT((Output!D151/12-INT(Output!D151/12))*12),1/8),fract[],2,FALSE))&amp;"''","")</f>
        <v>0'-0 ''</v>
      </c>
      <c r="E152" s="15" t="str">
        <f>IFERROR(INT(Output!E151)&amp;" "&amp;IF(MROUND((Output!E151-INT(Output!E151)),1/8)=0,"",VLOOKUP(MROUND((Output!E151-INT(Output!E151)),1/8),fract[],2,FALSE))&amp;"''","")</f>
        <v>0 ''</v>
      </c>
      <c r="F152" s="14"/>
      <c r="G152" s="14"/>
      <c r="H152" s="15">
        <f t="shared" si="4"/>
        <v>0</v>
      </c>
      <c r="I152" s="15">
        <f t="shared" si="5"/>
        <v>0</v>
      </c>
      <c r="J152" s="18">
        <f>Output!F151</f>
        <v>0</v>
      </c>
      <c r="K152" s="18">
        <f>Output!G151</f>
        <v>0</v>
      </c>
    </row>
    <row r="153" spans="1:11" ht="18" customHeight="1" x14ac:dyDescent="0.25">
      <c r="A153" s="15">
        <f>Output!A152</f>
        <v>0</v>
      </c>
      <c r="B153" s="15">
        <f>Output!B152</f>
        <v>0</v>
      </c>
      <c r="C153" s="15" t="str">
        <f>IFERROR(INT(Output!C152)&amp;" "&amp;IF(MROUND((Output!C152-INT(Output!C152)),1/8)=0,"",VLOOKUP(MROUND((Output!C152-INT(Output!C152)),1/8),fract[],2,FALSE))&amp;"''","")</f>
        <v>0 ''</v>
      </c>
      <c r="D153" s="15" t="str">
        <f>IFERROR(ROUND(INT(Output!D152)/12,0)&amp;"'-"&amp;INT((Output!D152/12-INT(Output!D152/12))*12)&amp;" "&amp;IF(MROUND((Output!D152/12-INT(Output!D152/12))*12-INT((Output!D152/12-INT(Output!D152/12))*12),1/8)=0,"",VLOOKUP(MROUND((Output!D152/12-INT(Output!D152/12))*12-INT((Output!D152/12-INT(Output!D152/12))*12),1/8),fract[],2,FALSE))&amp;"''","")</f>
        <v>0'-0 ''</v>
      </c>
      <c r="E153" s="15" t="str">
        <f>IFERROR(INT(Output!E152)&amp;" "&amp;IF(MROUND((Output!E152-INT(Output!E152)),1/8)=0,"",VLOOKUP(MROUND((Output!E152-INT(Output!E152)),1/8),fract[],2,FALSE))&amp;"''","")</f>
        <v>0 ''</v>
      </c>
      <c r="F153" s="14"/>
      <c r="G153" s="14"/>
      <c r="H153" s="15">
        <f t="shared" si="4"/>
        <v>0</v>
      </c>
      <c r="I153" s="15">
        <f t="shared" si="5"/>
        <v>0</v>
      </c>
      <c r="J153" s="18">
        <f>Output!F152</f>
        <v>0</v>
      </c>
      <c r="K153" s="18">
        <f>Output!G152</f>
        <v>0</v>
      </c>
    </row>
    <row r="154" spans="1:11" ht="18" customHeight="1" x14ac:dyDescent="0.25">
      <c r="A154" s="15">
        <f>Output!A153</f>
        <v>0</v>
      </c>
      <c r="B154" s="15">
        <f>Output!B153</f>
        <v>0</v>
      </c>
      <c r="C154" s="15" t="str">
        <f>IFERROR(INT(Output!C153)&amp;" "&amp;IF(MROUND((Output!C153-INT(Output!C153)),1/8)=0,"",VLOOKUP(MROUND((Output!C153-INT(Output!C153)),1/8),fract[],2,FALSE))&amp;"''","")</f>
        <v>0 ''</v>
      </c>
      <c r="D154" s="15" t="str">
        <f>IFERROR(ROUND(INT(Output!D153)/12,0)&amp;"'-"&amp;INT((Output!D153/12-INT(Output!D153/12))*12)&amp;" "&amp;IF(MROUND((Output!D153/12-INT(Output!D153/12))*12-INT((Output!D153/12-INT(Output!D153/12))*12),1/8)=0,"",VLOOKUP(MROUND((Output!D153/12-INT(Output!D153/12))*12-INT((Output!D153/12-INT(Output!D153/12))*12),1/8),fract[],2,FALSE))&amp;"''","")</f>
        <v>0'-0 ''</v>
      </c>
      <c r="E154" s="15" t="str">
        <f>IFERROR(INT(Output!E153)&amp;" "&amp;IF(MROUND((Output!E153-INT(Output!E153)),1/8)=0,"",VLOOKUP(MROUND((Output!E153-INT(Output!E153)),1/8),fract[],2,FALSE))&amp;"''","")</f>
        <v>0 ''</v>
      </c>
      <c r="F154" s="14"/>
      <c r="G154" s="14"/>
      <c r="H154" s="15">
        <f t="shared" si="4"/>
        <v>0</v>
      </c>
      <c r="I154" s="15">
        <f t="shared" si="5"/>
        <v>0</v>
      </c>
      <c r="J154" s="18">
        <f>Output!F153</f>
        <v>0</v>
      </c>
      <c r="K154" s="18">
        <f>Output!G153</f>
        <v>0</v>
      </c>
    </row>
    <row r="155" spans="1:11" ht="18" customHeight="1" x14ac:dyDescent="0.25">
      <c r="A155" s="15">
        <f>Output!A154</f>
        <v>0</v>
      </c>
      <c r="B155" s="15">
        <f>Output!B154</f>
        <v>0</v>
      </c>
      <c r="C155" s="15" t="str">
        <f>IFERROR(INT(Output!C154)&amp;" "&amp;IF(MROUND((Output!C154-INT(Output!C154)),1/8)=0,"",VLOOKUP(MROUND((Output!C154-INT(Output!C154)),1/8),fract[],2,FALSE))&amp;"''","")</f>
        <v>0 ''</v>
      </c>
      <c r="D155" s="15" t="str">
        <f>IFERROR(ROUND(INT(Output!D154)/12,0)&amp;"'-"&amp;INT((Output!D154/12-INT(Output!D154/12))*12)&amp;" "&amp;IF(MROUND((Output!D154/12-INT(Output!D154/12))*12-INT((Output!D154/12-INT(Output!D154/12))*12),1/8)=0,"",VLOOKUP(MROUND((Output!D154/12-INT(Output!D154/12))*12-INT((Output!D154/12-INT(Output!D154/12))*12),1/8),fract[],2,FALSE))&amp;"''","")</f>
        <v>0'-0 ''</v>
      </c>
      <c r="E155" s="15" t="str">
        <f>IFERROR(INT(Output!E154)&amp;" "&amp;IF(MROUND((Output!E154-INT(Output!E154)),1/8)=0,"",VLOOKUP(MROUND((Output!E154-INT(Output!E154)),1/8),fract[],2,FALSE))&amp;"''","")</f>
        <v>0 ''</v>
      </c>
      <c r="F155" s="14"/>
      <c r="G155" s="14"/>
      <c r="H155" s="15">
        <f t="shared" si="4"/>
        <v>0</v>
      </c>
      <c r="I155" s="15">
        <f t="shared" si="5"/>
        <v>0</v>
      </c>
      <c r="J155" s="18">
        <f>Output!F154</f>
        <v>0</v>
      </c>
      <c r="K155" s="18">
        <f>Output!G154</f>
        <v>0</v>
      </c>
    </row>
    <row r="156" spans="1:11" ht="18" customHeight="1" x14ac:dyDescent="0.25">
      <c r="A156" s="15">
        <f>Output!A155</f>
        <v>0</v>
      </c>
      <c r="B156" s="15">
        <f>Output!B155</f>
        <v>0</v>
      </c>
      <c r="C156" s="15" t="str">
        <f>IFERROR(INT(Output!C155)&amp;" "&amp;IF(MROUND((Output!C155-INT(Output!C155)),1/8)=0,"",VLOOKUP(MROUND((Output!C155-INT(Output!C155)),1/8),fract[],2,FALSE))&amp;"''","")</f>
        <v>0 ''</v>
      </c>
      <c r="D156" s="15" t="str">
        <f>IFERROR(ROUND(INT(Output!D155)/12,0)&amp;"'-"&amp;INT((Output!D155/12-INT(Output!D155/12))*12)&amp;" "&amp;IF(MROUND((Output!D155/12-INT(Output!D155/12))*12-INT((Output!D155/12-INT(Output!D155/12))*12),1/8)=0,"",VLOOKUP(MROUND((Output!D155/12-INT(Output!D155/12))*12-INT((Output!D155/12-INT(Output!D155/12))*12),1/8),fract[],2,FALSE))&amp;"''","")</f>
        <v>0'-0 ''</v>
      </c>
      <c r="E156" s="15" t="str">
        <f>IFERROR(INT(Output!E155)&amp;" "&amp;IF(MROUND((Output!E155-INT(Output!E155)),1/8)=0,"",VLOOKUP(MROUND((Output!E155-INT(Output!E155)),1/8),fract[],2,FALSE))&amp;"''","")</f>
        <v>0 ''</v>
      </c>
      <c r="F156" s="14"/>
      <c r="G156" s="14"/>
      <c r="H156" s="15">
        <f t="shared" si="4"/>
        <v>0</v>
      </c>
      <c r="I156" s="15">
        <f t="shared" si="5"/>
        <v>0</v>
      </c>
      <c r="J156" s="18">
        <f>Output!F155</f>
        <v>0</v>
      </c>
      <c r="K156" s="18">
        <f>Output!G155</f>
        <v>0</v>
      </c>
    </row>
    <row r="157" spans="1:11" ht="18" customHeight="1" x14ac:dyDescent="0.25">
      <c r="A157" s="15">
        <f>Output!A156</f>
        <v>0</v>
      </c>
      <c r="B157" s="15">
        <f>Output!B156</f>
        <v>0</v>
      </c>
      <c r="C157" s="15" t="str">
        <f>IFERROR(INT(Output!C156)&amp;" "&amp;IF(MROUND((Output!C156-INT(Output!C156)),1/8)=0,"",VLOOKUP(MROUND((Output!C156-INT(Output!C156)),1/8),fract[],2,FALSE))&amp;"''","")</f>
        <v>0 ''</v>
      </c>
      <c r="D157" s="15" t="str">
        <f>IFERROR(ROUND(INT(Output!D156)/12,0)&amp;"'-"&amp;INT((Output!D156/12-INT(Output!D156/12))*12)&amp;" "&amp;IF(MROUND((Output!D156/12-INT(Output!D156/12))*12-INT((Output!D156/12-INT(Output!D156/12))*12),1/8)=0,"",VLOOKUP(MROUND((Output!D156/12-INT(Output!D156/12))*12-INT((Output!D156/12-INT(Output!D156/12))*12),1/8),fract[],2,FALSE))&amp;"''","")</f>
        <v>0'-0 ''</v>
      </c>
      <c r="E157" s="15" t="str">
        <f>IFERROR(INT(Output!E156)&amp;" "&amp;IF(MROUND((Output!E156-INT(Output!E156)),1/8)=0,"",VLOOKUP(MROUND((Output!E156-INT(Output!E156)),1/8),fract[],2,FALSE))&amp;"''","")</f>
        <v>0 ''</v>
      </c>
      <c r="F157" s="14"/>
      <c r="G157" s="14"/>
      <c r="H157" s="15">
        <f t="shared" si="4"/>
        <v>0</v>
      </c>
      <c r="I157" s="15">
        <f t="shared" si="5"/>
        <v>0</v>
      </c>
      <c r="J157" s="18">
        <f>Output!F156</f>
        <v>0</v>
      </c>
      <c r="K157" s="18">
        <f>Output!G156</f>
        <v>0</v>
      </c>
    </row>
    <row r="158" spans="1:11" ht="18" customHeight="1" x14ac:dyDescent="0.25">
      <c r="A158" s="15">
        <f>Output!A157</f>
        <v>0</v>
      </c>
      <c r="B158" s="15">
        <f>Output!B157</f>
        <v>0</v>
      </c>
      <c r="C158" s="15" t="str">
        <f>IFERROR(INT(Output!C157)&amp;" "&amp;IF(MROUND((Output!C157-INT(Output!C157)),1/8)=0,"",VLOOKUP(MROUND((Output!C157-INT(Output!C157)),1/8),fract[],2,FALSE))&amp;"''","")</f>
        <v>0 ''</v>
      </c>
      <c r="D158" s="15" t="str">
        <f>IFERROR(ROUND(INT(Output!D157)/12,0)&amp;"'-"&amp;INT((Output!D157/12-INT(Output!D157/12))*12)&amp;" "&amp;IF(MROUND((Output!D157/12-INT(Output!D157/12))*12-INT((Output!D157/12-INT(Output!D157/12))*12),1/8)=0,"",VLOOKUP(MROUND((Output!D157/12-INT(Output!D157/12))*12-INT((Output!D157/12-INT(Output!D157/12))*12),1/8),fract[],2,FALSE))&amp;"''","")</f>
        <v>0'-0 ''</v>
      </c>
      <c r="E158" s="15" t="str">
        <f>IFERROR(INT(Output!E157)&amp;" "&amp;IF(MROUND((Output!E157-INT(Output!E157)),1/8)=0,"",VLOOKUP(MROUND((Output!E157-INT(Output!E157)),1/8),fract[],2,FALSE))&amp;"''","")</f>
        <v>0 ''</v>
      </c>
      <c r="F158" s="14"/>
      <c r="G158" s="14"/>
      <c r="H158" s="15">
        <f t="shared" si="4"/>
        <v>0</v>
      </c>
      <c r="I158" s="15">
        <f t="shared" si="5"/>
        <v>0</v>
      </c>
      <c r="J158" s="18">
        <f>Output!F157</f>
        <v>0</v>
      </c>
      <c r="K158" s="18">
        <f>Output!G157</f>
        <v>0</v>
      </c>
    </row>
    <row r="159" spans="1:11" ht="18" customHeight="1" x14ac:dyDescent="0.25">
      <c r="A159" s="15">
        <f>Output!A158</f>
        <v>0</v>
      </c>
      <c r="B159" s="15">
        <f>Output!B158</f>
        <v>0</v>
      </c>
      <c r="C159" s="15" t="str">
        <f>IFERROR(INT(Output!C158)&amp;" "&amp;IF(MROUND((Output!C158-INT(Output!C158)),1/8)=0,"",VLOOKUP(MROUND((Output!C158-INT(Output!C158)),1/8),fract[],2,FALSE))&amp;"''","")</f>
        <v>0 ''</v>
      </c>
      <c r="D159" s="15" t="str">
        <f>IFERROR(ROUND(INT(Output!D158)/12,0)&amp;"'-"&amp;INT((Output!D158/12-INT(Output!D158/12))*12)&amp;" "&amp;IF(MROUND((Output!D158/12-INT(Output!D158/12))*12-INT((Output!D158/12-INT(Output!D158/12))*12),1/8)=0,"",VLOOKUP(MROUND((Output!D158/12-INT(Output!D158/12))*12-INT((Output!D158/12-INT(Output!D158/12))*12),1/8),fract[],2,FALSE))&amp;"''","")</f>
        <v>0'-0 ''</v>
      </c>
      <c r="E159" s="15" t="str">
        <f>IFERROR(INT(Output!E158)&amp;" "&amp;IF(MROUND((Output!E158-INT(Output!E158)),1/8)=0,"",VLOOKUP(MROUND((Output!E158-INT(Output!E158)),1/8),fract[],2,FALSE))&amp;"''","")</f>
        <v>0 ''</v>
      </c>
      <c r="F159" s="14"/>
      <c r="G159" s="14"/>
      <c r="H159" s="15">
        <f t="shared" si="4"/>
        <v>0</v>
      </c>
      <c r="I159" s="15">
        <f t="shared" si="5"/>
        <v>0</v>
      </c>
      <c r="J159" s="18">
        <f>Output!F158</f>
        <v>0</v>
      </c>
      <c r="K159" s="18">
        <f>Output!G158</f>
        <v>0</v>
      </c>
    </row>
    <row r="160" spans="1:11" ht="18" customHeight="1" x14ac:dyDescent="0.25">
      <c r="A160" s="15">
        <f>Output!A159</f>
        <v>0</v>
      </c>
      <c r="B160" s="15">
        <f>Output!B159</f>
        <v>0</v>
      </c>
      <c r="C160" s="15" t="str">
        <f>IFERROR(INT(Output!C159)&amp;" "&amp;IF(MROUND((Output!C159-INT(Output!C159)),1/8)=0,"",VLOOKUP(MROUND((Output!C159-INT(Output!C159)),1/8),fract[],2,FALSE))&amp;"''","")</f>
        <v>0 ''</v>
      </c>
      <c r="D160" s="15" t="str">
        <f>IFERROR(ROUND(INT(Output!D159)/12,0)&amp;"'-"&amp;INT((Output!D159/12-INT(Output!D159/12))*12)&amp;" "&amp;IF(MROUND((Output!D159/12-INT(Output!D159/12))*12-INT((Output!D159/12-INT(Output!D159/12))*12),1/8)=0,"",VLOOKUP(MROUND((Output!D159/12-INT(Output!D159/12))*12-INT((Output!D159/12-INT(Output!D159/12))*12),1/8),fract[],2,FALSE))&amp;"''","")</f>
        <v>0'-0 ''</v>
      </c>
      <c r="E160" s="15" t="str">
        <f>IFERROR(INT(Output!E159)&amp;" "&amp;IF(MROUND((Output!E159-INT(Output!E159)),1/8)=0,"",VLOOKUP(MROUND((Output!E159-INT(Output!E159)),1/8),fract[],2,FALSE))&amp;"''","")</f>
        <v>0 ''</v>
      </c>
      <c r="F160" s="14"/>
      <c r="G160" s="14"/>
      <c r="H160" s="15">
        <f t="shared" si="4"/>
        <v>0</v>
      </c>
      <c r="I160" s="15">
        <f t="shared" si="5"/>
        <v>0</v>
      </c>
      <c r="J160" s="18">
        <f>Output!F159</f>
        <v>0</v>
      </c>
      <c r="K160" s="18">
        <f>Output!G159</f>
        <v>0</v>
      </c>
    </row>
    <row r="161" spans="1:11" ht="18" customHeight="1" x14ac:dyDescent="0.25">
      <c r="A161" s="15">
        <f>Output!A160</f>
        <v>0</v>
      </c>
      <c r="B161" s="15">
        <f>Output!B160</f>
        <v>0</v>
      </c>
      <c r="C161" s="15" t="str">
        <f>IFERROR(INT(Output!C160)&amp;" "&amp;IF(MROUND((Output!C160-INT(Output!C160)),1/8)=0,"",VLOOKUP(MROUND((Output!C160-INT(Output!C160)),1/8),fract[],2,FALSE))&amp;"''","")</f>
        <v>0 ''</v>
      </c>
      <c r="D161" s="15" t="str">
        <f>IFERROR(ROUND(INT(Output!D160)/12,0)&amp;"'-"&amp;INT((Output!D160/12-INT(Output!D160/12))*12)&amp;" "&amp;IF(MROUND((Output!D160/12-INT(Output!D160/12))*12-INT((Output!D160/12-INT(Output!D160/12))*12),1/8)=0,"",VLOOKUP(MROUND((Output!D160/12-INT(Output!D160/12))*12-INT((Output!D160/12-INT(Output!D160/12))*12),1/8),fract[],2,FALSE))&amp;"''","")</f>
        <v>0'-0 ''</v>
      </c>
      <c r="E161" s="15" t="str">
        <f>IFERROR(INT(Output!E160)&amp;" "&amp;IF(MROUND((Output!E160-INT(Output!E160)),1/8)=0,"",VLOOKUP(MROUND((Output!E160-INT(Output!E160)),1/8),fract[],2,FALSE))&amp;"''","")</f>
        <v>0 ''</v>
      </c>
      <c r="F161" s="14"/>
      <c r="G161" s="14"/>
      <c r="H161" s="15">
        <f t="shared" si="4"/>
        <v>0</v>
      </c>
      <c r="I161" s="15">
        <f t="shared" si="5"/>
        <v>0</v>
      </c>
      <c r="J161" s="18">
        <f>Output!F160</f>
        <v>0</v>
      </c>
      <c r="K161" s="18">
        <f>Output!G160</f>
        <v>0</v>
      </c>
    </row>
    <row r="162" spans="1:11" ht="18" customHeight="1" x14ac:dyDescent="0.25">
      <c r="A162" s="15">
        <f>Output!A161</f>
        <v>0</v>
      </c>
      <c r="B162" s="15">
        <f>Output!B161</f>
        <v>0</v>
      </c>
      <c r="C162" s="15" t="str">
        <f>IFERROR(INT(Output!C161)&amp;" "&amp;IF(MROUND((Output!C161-INT(Output!C161)),1/8)=0,"",VLOOKUP(MROUND((Output!C161-INT(Output!C161)),1/8),fract[],2,FALSE))&amp;"''","")</f>
        <v>0 ''</v>
      </c>
      <c r="D162" s="15" t="str">
        <f>IFERROR(ROUND(INT(Output!D161)/12,0)&amp;"'-"&amp;INT((Output!D161/12-INT(Output!D161/12))*12)&amp;" "&amp;IF(MROUND((Output!D161/12-INT(Output!D161/12))*12-INT((Output!D161/12-INT(Output!D161/12))*12),1/8)=0,"",VLOOKUP(MROUND((Output!D161/12-INT(Output!D161/12))*12-INT((Output!D161/12-INT(Output!D161/12))*12),1/8),fract[],2,FALSE))&amp;"''","")</f>
        <v>0'-0 ''</v>
      </c>
      <c r="E162" s="15" t="str">
        <f>IFERROR(INT(Output!E161)&amp;" "&amp;IF(MROUND((Output!E161-INT(Output!E161)),1/8)=0,"",VLOOKUP(MROUND((Output!E161-INT(Output!E161)),1/8),fract[],2,FALSE))&amp;"''","")</f>
        <v>0 ''</v>
      </c>
      <c r="F162" s="14"/>
      <c r="G162" s="14"/>
      <c r="H162" s="15">
        <f t="shared" si="4"/>
        <v>0</v>
      </c>
      <c r="I162" s="15">
        <f t="shared" si="5"/>
        <v>0</v>
      </c>
      <c r="J162" s="18">
        <f>Output!F161</f>
        <v>0</v>
      </c>
      <c r="K162" s="18">
        <f>Output!G161</f>
        <v>0</v>
      </c>
    </row>
    <row r="163" spans="1:11" ht="18" customHeight="1" x14ac:dyDescent="0.25">
      <c r="A163" s="15">
        <f>Output!A162</f>
        <v>0</v>
      </c>
      <c r="B163" s="15">
        <f>Output!B162</f>
        <v>0</v>
      </c>
      <c r="C163" s="15" t="str">
        <f>IFERROR(INT(Output!C162)&amp;" "&amp;IF(MROUND((Output!C162-INT(Output!C162)),1/8)=0,"",VLOOKUP(MROUND((Output!C162-INT(Output!C162)),1/8),fract[],2,FALSE))&amp;"''","")</f>
        <v>0 ''</v>
      </c>
      <c r="D163" s="15" t="str">
        <f>IFERROR(ROUND(INT(Output!D162)/12,0)&amp;"'-"&amp;INT((Output!D162/12-INT(Output!D162/12))*12)&amp;" "&amp;IF(MROUND((Output!D162/12-INT(Output!D162/12))*12-INT((Output!D162/12-INT(Output!D162/12))*12),1/8)=0,"",VLOOKUP(MROUND((Output!D162/12-INT(Output!D162/12))*12-INT((Output!D162/12-INT(Output!D162/12))*12),1/8),fract[],2,FALSE))&amp;"''","")</f>
        <v>0'-0 ''</v>
      </c>
      <c r="E163" s="15" t="str">
        <f>IFERROR(INT(Output!E162)&amp;" "&amp;IF(MROUND((Output!E162-INT(Output!E162)),1/8)=0,"",VLOOKUP(MROUND((Output!E162-INT(Output!E162)),1/8),fract[],2,FALSE))&amp;"''","")</f>
        <v>0 ''</v>
      </c>
      <c r="F163" s="14"/>
      <c r="G163" s="14"/>
      <c r="H163" s="15">
        <f t="shared" si="4"/>
        <v>0</v>
      </c>
      <c r="I163" s="15">
        <f t="shared" si="5"/>
        <v>0</v>
      </c>
      <c r="J163" s="18">
        <f>Output!F162</f>
        <v>0</v>
      </c>
      <c r="K163" s="18">
        <f>Output!G162</f>
        <v>0</v>
      </c>
    </row>
    <row r="164" spans="1:11" ht="18" customHeight="1" x14ac:dyDescent="0.25">
      <c r="A164" s="15">
        <f>Output!A163</f>
        <v>0</v>
      </c>
      <c r="B164" s="15">
        <f>Output!B163</f>
        <v>0</v>
      </c>
      <c r="C164" s="15" t="str">
        <f>IFERROR(INT(Output!C163)&amp;" "&amp;IF(MROUND((Output!C163-INT(Output!C163)),1/8)=0,"",VLOOKUP(MROUND((Output!C163-INT(Output!C163)),1/8),fract[],2,FALSE))&amp;"''","")</f>
        <v>0 ''</v>
      </c>
      <c r="D164" s="15" t="str">
        <f>IFERROR(ROUND(INT(Output!D163)/12,0)&amp;"'-"&amp;INT((Output!D163/12-INT(Output!D163/12))*12)&amp;" "&amp;IF(MROUND((Output!D163/12-INT(Output!D163/12))*12-INT((Output!D163/12-INT(Output!D163/12))*12),1/8)=0,"",VLOOKUP(MROUND((Output!D163/12-INT(Output!D163/12))*12-INT((Output!D163/12-INT(Output!D163/12))*12),1/8),fract[],2,FALSE))&amp;"''","")</f>
        <v>0'-0 ''</v>
      </c>
      <c r="E164" s="15" t="str">
        <f>IFERROR(INT(Output!E163)&amp;" "&amp;IF(MROUND((Output!E163-INT(Output!E163)),1/8)=0,"",VLOOKUP(MROUND((Output!E163-INT(Output!E163)),1/8),fract[],2,FALSE))&amp;"''","")</f>
        <v>0 ''</v>
      </c>
      <c r="F164" s="14"/>
      <c r="G164" s="14"/>
      <c r="H164" s="15">
        <f t="shared" si="4"/>
        <v>0</v>
      </c>
      <c r="I164" s="15">
        <f t="shared" si="5"/>
        <v>0</v>
      </c>
      <c r="J164" s="18">
        <f>Output!F163</f>
        <v>0</v>
      </c>
      <c r="K164" s="18">
        <f>Output!G163</f>
        <v>0</v>
      </c>
    </row>
    <row r="165" spans="1:11" ht="18" customHeight="1" x14ac:dyDescent="0.25">
      <c r="A165" s="15">
        <f>Output!A164</f>
        <v>0</v>
      </c>
      <c r="B165" s="15">
        <f>Output!B164</f>
        <v>0</v>
      </c>
      <c r="C165" s="15" t="str">
        <f>IFERROR(INT(Output!C164)&amp;" "&amp;IF(MROUND((Output!C164-INT(Output!C164)),1/8)=0,"",VLOOKUP(MROUND((Output!C164-INT(Output!C164)),1/8),fract[],2,FALSE))&amp;"''","")</f>
        <v>0 ''</v>
      </c>
      <c r="D165" s="15" t="str">
        <f>IFERROR(ROUND(INT(Output!D164)/12,0)&amp;"'-"&amp;INT((Output!D164/12-INT(Output!D164/12))*12)&amp;" "&amp;IF(MROUND((Output!D164/12-INT(Output!D164/12))*12-INT((Output!D164/12-INT(Output!D164/12))*12),1/8)=0,"",VLOOKUP(MROUND((Output!D164/12-INT(Output!D164/12))*12-INT((Output!D164/12-INT(Output!D164/12))*12),1/8),fract[],2,FALSE))&amp;"''","")</f>
        <v>0'-0 ''</v>
      </c>
      <c r="E165" s="15" t="str">
        <f>IFERROR(INT(Output!E164)&amp;" "&amp;IF(MROUND((Output!E164-INT(Output!E164)),1/8)=0,"",VLOOKUP(MROUND((Output!E164-INT(Output!E164)),1/8),fract[],2,FALSE))&amp;"''","")</f>
        <v>0 ''</v>
      </c>
      <c r="F165" s="14"/>
      <c r="G165" s="14"/>
      <c r="H165" s="15">
        <f t="shared" si="4"/>
        <v>0</v>
      </c>
      <c r="I165" s="15">
        <f t="shared" si="5"/>
        <v>0</v>
      </c>
      <c r="J165" s="18">
        <f>Output!F164</f>
        <v>0</v>
      </c>
      <c r="K165" s="18">
        <f>Output!G164</f>
        <v>0</v>
      </c>
    </row>
    <row r="166" spans="1:11" ht="18" customHeight="1" x14ac:dyDescent="0.25">
      <c r="A166" s="15">
        <f>Output!A165</f>
        <v>0</v>
      </c>
      <c r="B166" s="15">
        <f>Output!B165</f>
        <v>0</v>
      </c>
      <c r="C166" s="15" t="str">
        <f>IFERROR(INT(Output!C165)&amp;" "&amp;IF(MROUND((Output!C165-INT(Output!C165)),1/8)=0,"",VLOOKUP(MROUND((Output!C165-INT(Output!C165)),1/8),fract[],2,FALSE))&amp;"''","")</f>
        <v>0 ''</v>
      </c>
      <c r="D166" s="15" t="str">
        <f>IFERROR(ROUND(INT(Output!D165)/12,0)&amp;"'-"&amp;INT((Output!D165/12-INT(Output!D165/12))*12)&amp;" "&amp;IF(MROUND((Output!D165/12-INT(Output!D165/12))*12-INT((Output!D165/12-INT(Output!D165/12))*12),1/8)=0,"",VLOOKUP(MROUND((Output!D165/12-INT(Output!D165/12))*12-INT((Output!D165/12-INT(Output!D165/12))*12),1/8),fract[],2,FALSE))&amp;"''","")</f>
        <v>0'-0 ''</v>
      </c>
      <c r="E166" s="15" t="str">
        <f>IFERROR(INT(Output!E165)&amp;" "&amp;IF(MROUND((Output!E165-INT(Output!E165)),1/8)=0,"",VLOOKUP(MROUND((Output!E165-INT(Output!E165)),1/8),fract[],2,FALSE))&amp;"''","")</f>
        <v>0 ''</v>
      </c>
      <c r="F166" s="14"/>
      <c r="G166" s="14"/>
      <c r="H166" s="15">
        <f t="shared" si="4"/>
        <v>0</v>
      </c>
      <c r="I166" s="15">
        <f t="shared" si="5"/>
        <v>0</v>
      </c>
      <c r="J166" s="18">
        <f>Output!F165</f>
        <v>0</v>
      </c>
      <c r="K166" s="18">
        <f>Output!G165</f>
        <v>0</v>
      </c>
    </row>
    <row r="167" spans="1:11" ht="18" customHeight="1" x14ac:dyDescent="0.25">
      <c r="A167" s="15">
        <f>Output!A166</f>
        <v>0</v>
      </c>
      <c r="B167" s="15">
        <f>Output!B166</f>
        <v>0</v>
      </c>
      <c r="C167" s="15" t="str">
        <f>IFERROR(INT(Output!C166)&amp;" "&amp;IF(MROUND((Output!C166-INT(Output!C166)),1/8)=0,"",VLOOKUP(MROUND((Output!C166-INT(Output!C166)),1/8),fract[],2,FALSE))&amp;"''","")</f>
        <v>0 ''</v>
      </c>
      <c r="D167" s="15" t="str">
        <f>IFERROR(ROUND(INT(Output!D166)/12,0)&amp;"'-"&amp;INT((Output!D166/12-INT(Output!D166/12))*12)&amp;" "&amp;IF(MROUND((Output!D166/12-INT(Output!D166/12))*12-INT((Output!D166/12-INT(Output!D166/12))*12),1/8)=0,"",VLOOKUP(MROUND((Output!D166/12-INT(Output!D166/12))*12-INT((Output!D166/12-INT(Output!D166/12))*12),1/8),fract[],2,FALSE))&amp;"''","")</f>
        <v>0'-0 ''</v>
      </c>
      <c r="E167" s="15" t="str">
        <f>IFERROR(INT(Output!E166)&amp;" "&amp;IF(MROUND((Output!E166-INT(Output!E166)),1/8)=0,"",VLOOKUP(MROUND((Output!E166-INT(Output!E166)),1/8),fract[],2,FALSE))&amp;"''","")</f>
        <v>0 ''</v>
      </c>
      <c r="F167" s="14"/>
      <c r="G167" s="14"/>
      <c r="H167" s="15">
        <f t="shared" si="4"/>
        <v>0</v>
      </c>
      <c r="I167" s="15">
        <f t="shared" si="5"/>
        <v>0</v>
      </c>
      <c r="J167" s="18">
        <f>Output!F166</f>
        <v>0</v>
      </c>
      <c r="K167" s="18">
        <f>Output!G166</f>
        <v>0</v>
      </c>
    </row>
    <row r="168" spans="1:11" ht="18" customHeight="1" x14ac:dyDescent="0.25">
      <c r="A168" s="15">
        <f>Output!A167</f>
        <v>0</v>
      </c>
      <c r="B168" s="15">
        <f>Output!B167</f>
        <v>0</v>
      </c>
      <c r="C168" s="15" t="str">
        <f>IFERROR(INT(Output!C167)&amp;" "&amp;IF(MROUND((Output!C167-INT(Output!C167)),1/8)=0,"",VLOOKUP(MROUND((Output!C167-INT(Output!C167)),1/8),fract[],2,FALSE))&amp;"''","")</f>
        <v>0 ''</v>
      </c>
      <c r="D168" s="15" t="str">
        <f>IFERROR(ROUND(INT(Output!D167)/12,0)&amp;"'-"&amp;INT((Output!D167/12-INT(Output!D167/12))*12)&amp;" "&amp;IF(MROUND((Output!D167/12-INT(Output!D167/12))*12-INT((Output!D167/12-INT(Output!D167/12))*12),1/8)=0,"",VLOOKUP(MROUND((Output!D167/12-INT(Output!D167/12))*12-INT((Output!D167/12-INT(Output!D167/12))*12),1/8),fract[],2,FALSE))&amp;"''","")</f>
        <v>0'-0 ''</v>
      </c>
      <c r="E168" s="15" t="str">
        <f>IFERROR(INT(Output!E167)&amp;" "&amp;IF(MROUND((Output!E167-INT(Output!E167)),1/8)=0,"",VLOOKUP(MROUND((Output!E167-INT(Output!E167)),1/8),fract[],2,FALSE))&amp;"''","")</f>
        <v>0 ''</v>
      </c>
      <c r="F168" s="14"/>
      <c r="G168" s="14"/>
      <c r="H168" s="15">
        <f t="shared" si="4"/>
        <v>0</v>
      </c>
      <c r="I168" s="15">
        <f t="shared" si="5"/>
        <v>0</v>
      </c>
      <c r="J168" s="18">
        <f>Output!F167</f>
        <v>0</v>
      </c>
      <c r="K168" s="18">
        <f>Output!G167</f>
        <v>0</v>
      </c>
    </row>
    <row r="169" spans="1:11" ht="18" customHeight="1" x14ac:dyDescent="0.25">
      <c r="A169" s="15">
        <f>Output!A168</f>
        <v>0</v>
      </c>
      <c r="B169" s="15">
        <f>Output!B168</f>
        <v>0</v>
      </c>
      <c r="C169" s="15" t="str">
        <f>IFERROR(INT(Output!C168)&amp;" "&amp;IF(MROUND((Output!C168-INT(Output!C168)),1/8)=0,"",VLOOKUP(MROUND((Output!C168-INT(Output!C168)),1/8),fract[],2,FALSE))&amp;"''","")</f>
        <v>0 ''</v>
      </c>
      <c r="D169" s="15" t="str">
        <f>IFERROR(ROUND(INT(Output!D168)/12,0)&amp;"'-"&amp;INT((Output!D168/12-INT(Output!D168/12))*12)&amp;" "&amp;IF(MROUND((Output!D168/12-INT(Output!D168/12))*12-INT((Output!D168/12-INT(Output!D168/12))*12),1/8)=0,"",VLOOKUP(MROUND((Output!D168/12-INT(Output!D168/12))*12-INT((Output!D168/12-INT(Output!D168/12))*12),1/8),fract[],2,FALSE))&amp;"''","")</f>
        <v>0'-0 ''</v>
      </c>
      <c r="E169" s="15" t="str">
        <f>IFERROR(INT(Output!E168)&amp;" "&amp;IF(MROUND((Output!E168-INT(Output!E168)),1/8)=0,"",VLOOKUP(MROUND((Output!E168-INT(Output!E168)),1/8),fract[],2,FALSE))&amp;"''","")</f>
        <v>0 ''</v>
      </c>
      <c r="F169" s="14"/>
      <c r="G169" s="14"/>
      <c r="H169" s="15">
        <f t="shared" si="4"/>
        <v>0</v>
      </c>
      <c r="I169" s="15">
        <f t="shared" si="5"/>
        <v>0</v>
      </c>
      <c r="J169" s="18">
        <f>Output!F168</f>
        <v>0</v>
      </c>
      <c r="K169" s="18">
        <f>Output!G168</f>
        <v>0</v>
      </c>
    </row>
    <row r="170" spans="1:11" ht="18" customHeight="1" x14ac:dyDescent="0.25">
      <c r="A170" s="15">
        <f>Output!A169</f>
        <v>0</v>
      </c>
      <c r="B170" s="15">
        <f>Output!B169</f>
        <v>0</v>
      </c>
      <c r="C170" s="15" t="str">
        <f>IFERROR(INT(Output!C169)&amp;" "&amp;IF(MROUND((Output!C169-INT(Output!C169)),1/8)=0,"",VLOOKUP(MROUND((Output!C169-INT(Output!C169)),1/8),fract[],2,FALSE))&amp;"''","")</f>
        <v>0 ''</v>
      </c>
      <c r="D170" s="15" t="str">
        <f>IFERROR(ROUND(INT(Output!D169)/12,0)&amp;"'-"&amp;INT((Output!D169/12-INT(Output!D169/12))*12)&amp;" "&amp;IF(MROUND((Output!D169/12-INT(Output!D169/12))*12-INT((Output!D169/12-INT(Output!D169/12))*12),1/8)=0,"",VLOOKUP(MROUND((Output!D169/12-INT(Output!D169/12))*12-INT((Output!D169/12-INT(Output!D169/12))*12),1/8),fract[],2,FALSE))&amp;"''","")</f>
        <v>0'-0 ''</v>
      </c>
      <c r="E170" s="15" t="str">
        <f>IFERROR(INT(Output!E169)&amp;" "&amp;IF(MROUND((Output!E169-INT(Output!E169)),1/8)=0,"",VLOOKUP(MROUND((Output!E169-INT(Output!E169)),1/8),fract[],2,FALSE))&amp;"''","")</f>
        <v>0 ''</v>
      </c>
      <c r="F170" s="14"/>
      <c r="G170" s="14"/>
      <c r="H170" s="15">
        <f t="shared" si="4"/>
        <v>0</v>
      </c>
      <c r="I170" s="15">
        <f t="shared" si="5"/>
        <v>0</v>
      </c>
      <c r="J170" s="18">
        <f>Output!F169</f>
        <v>0</v>
      </c>
      <c r="K170" s="18">
        <f>Output!G169</f>
        <v>0</v>
      </c>
    </row>
    <row r="171" spans="1:11" ht="18" customHeight="1" x14ac:dyDescent="0.25">
      <c r="A171" s="15">
        <f>Output!A170</f>
        <v>0</v>
      </c>
      <c r="B171" s="15">
        <f>Output!B170</f>
        <v>0</v>
      </c>
      <c r="C171" s="15" t="str">
        <f>IFERROR(INT(Output!C170)&amp;" "&amp;IF(MROUND((Output!C170-INT(Output!C170)),1/8)=0,"",VLOOKUP(MROUND((Output!C170-INT(Output!C170)),1/8),fract[],2,FALSE))&amp;"''","")</f>
        <v>0 ''</v>
      </c>
      <c r="D171" s="15" t="str">
        <f>IFERROR(ROUND(INT(Output!D170)/12,0)&amp;"'-"&amp;INT((Output!D170/12-INT(Output!D170/12))*12)&amp;" "&amp;IF(MROUND((Output!D170/12-INT(Output!D170/12))*12-INT((Output!D170/12-INT(Output!D170/12))*12),1/8)=0,"",VLOOKUP(MROUND((Output!D170/12-INT(Output!D170/12))*12-INT((Output!D170/12-INT(Output!D170/12))*12),1/8),fract[],2,FALSE))&amp;"''","")</f>
        <v>0'-0 ''</v>
      </c>
      <c r="E171" s="15" t="str">
        <f>IFERROR(INT(Output!E170)&amp;" "&amp;IF(MROUND((Output!E170-INT(Output!E170)),1/8)=0,"",VLOOKUP(MROUND((Output!E170-INT(Output!E170)),1/8),fract[],2,FALSE))&amp;"''","")</f>
        <v>0 ''</v>
      </c>
      <c r="F171" s="14"/>
      <c r="G171" s="14"/>
      <c r="H171" s="15">
        <f t="shared" si="4"/>
        <v>0</v>
      </c>
      <c r="I171" s="15">
        <f t="shared" si="5"/>
        <v>0</v>
      </c>
      <c r="J171" s="18">
        <f>Output!F170</f>
        <v>0</v>
      </c>
      <c r="K171" s="18">
        <f>Output!G170</f>
        <v>0</v>
      </c>
    </row>
    <row r="172" spans="1:11" ht="18" customHeight="1" x14ac:dyDescent="0.25">
      <c r="A172" s="15">
        <f>Output!A171</f>
        <v>0</v>
      </c>
      <c r="B172" s="15">
        <f>Output!B171</f>
        <v>0</v>
      </c>
      <c r="C172" s="15" t="str">
        <f>IFERROR(INT(Output!C171)&amp;" "&amp;IF(MROUND((Output!C171-INT(Output!C171)),1/8)=0,"",VLOOKUP(MROUND((Output!C171-INT(Output!C171)),1/8),fract[],2,FALSE))&amp;"''","")</f>
        <v>0 ''</v>
      </c>
      <c r="D172" s="15" t="str">
        <f>IFERROR(ROUND(INT(Output!D171)/12,0)&amp;"'-"&amp;INT((Output!D171/12-INT(Output!D171/12))*12)&amp;" "&amp;IF(MROUND((Output!D171/12-INT(Output!D171/12))*12-INT((Output!D171/12-INT(Output!D171/12))*12),1/8)=0,"",VLOOKUP(MROUND((Output!D171/12-INT(Output!D171/12))*12-INT((Output!D171/12-INT(Output!D171/12))*12),1/8),fract[],2,FALSE))&amp;"''","")</f>
        <v>0'-0 ''</v>
      </c>
      <c r="E172" s="15" t="str">
        <f>IFERROR(INT(Output!E171)&amp;" "&amp;IF(MROUND((Output!E171-INT(Output!E171)),1/8)=0,"",VLOOKUP(MROUND((Output!E171-INT(Output!E171)),1/8),fract[],2,FALSE))&amp;"''","")</f>
        <v>0 ''</v>
      </c>
      <c r="F172" s="14"/>
      <c r="G172" s="14"/>
      <c r="H172" s="15">
        <f t="shared" si="4"/>
        <v>0</v>
      </c>
      <c r="I172" s="15">
        <f t="shared" si="5"/>
        <v>0</v>
      </c>
      <c r="J172" s="18">
        <f>Output!F171</f>
        <v>0</v>
      </c>
      <c r="K172" s="18">
        <f>Output!G171</f>
        <v>0</v>
      </c>
    </row>
    <row r="173" spans="1:11" ht="18" customHeight="1" x14ac:dyDescent="0.25">
      <c r="A173" s="15">
        <f>Output!A172</f>
        <v>0</v>
      </c>
      <c r="B173" s="15">
        <f>Output!B172</f>
        <v>0</v>
      </c>
      <c r="C173" s="15" t="str">
        <f>IFERROR(INT(Output!C172)&amp;" "&amp;IF(MROUND((Output!C172-INT(Output!C172)),1/8)=0,"",VLOOKUP(MROUND((Output!C172-INT(Output!C172)),1/8),fract[],2,FALSE))&amp;"''","")</f>
        <v>0 ''</v>
      </c>
      <c r="D173" s="15" t="str">
        <f>IFERROR(ROUND(INT(Output!D172)/12,0)&amp;"'-"&amp;INT((Output!D172/12-INT(Output!D172/12))*12)&amp;" "&amp;IF(MROUND((Output!D172/12-INT(Output!D172/12))*12-INT((Output!D172/12-INT(Output!D172/12))*12),1/8)=0,"",VLOOKUP(MROUND((Output!D172/12-INT(Output!D172/12))*12-INT((Output!D172/12-INT(Output!D172/12))*12),1/8),fract[],2,FALSE))&amp;"''","")</f>
        <v>0'-0 ''</v>
      </c>
      <c r="E173" s="15" t="str">
        <f>IFERROR(INT(Output!E172)&amp;" "&amp;IF(MROUND((Output!E172-INT(Output!E172)),1/8)=0,"",VLOOKUP(MROUND((Output!E172-INT(Output!E172)),1/8),fract[],2,FALSE))&amp;"''","")</f>
        <v>0 ''</v>
      </c>
      <c r="F173" s="14"/>
      <c r="G173" s="14"/>
      <c r="H173" s="15">
        <f t="shared" si="4"/>
        <v>0</v>
      </c>
      <c r="I173" s="15">
        <f t="shared" si="5"/>
        <v>0</v>
      </c>
      <c r="J173" s="18">
        <f>Output!F172</f>
        <v>0</v>
      </c>
      <c r="K173" s="18">
        <f>Output!G172</f>
        <v>0</v>
      </c>
    </row>
    <row r="174" spans="1:11" ht="18" customHeight="1" x14ac:dyDescent="0.25">
      <c r="A174" s="15">
        <f>Output!A173</f>
        <v>0</v>
      </c>
      <c r="B174" s="15">
        <f>Output!B173</f>
        <v>0</v>
      </c>
      <c r="C174" s="15" t="str">
        <f>IFERROR(INT(Output!C173)&amp;" "&amp;IF(MROUND((Output!C173-INT(Output!C173)),1/8)=0,"",VLOOKUP(MROUND((Output!C173-INT(Output!C173)),1/8),fract[],2,FALSE))&amp;"''","")</f>
        <v>0 ''</v>
      </c>
      <c r="D174" s="15" t="str">
        <f>IFERROR(ROUND(INT(Output!D173)/12,0)&amp;"'-"&amp;INT((Output!D173/12-INT(Output!D173/12))*12)&amp;" "&amp;IF(MROUND((Output!D173/12-INT(Output!D173/12))*12-INT((Output!D173/12-INT(Output!D173/12))*12),1/8)=0,"",VLOOKUP(MROUND((Output!D173/12-INT(Output!D173/12))*12-INT((Output!D173/12-INT(Output!D173/12))*12),1/8),fract[],2,FALSE))&amp;"''","")</f>
        <v>0'-0 ''</v>
      </c>
      <c r="E174" s="15" t="str">
        <f>IFERROR(INT(Output!E173)&amp;" "&amp;IF(MROUND((Output!E173-INT(Output!E173)),1/8)=0,"",VLOOKUP(MROUND((Output!E173-INT(Output!E173)),1/8),fract[],2,FALSE))&amp;"''","")</f>
        <v>0 ''</v>
      </c>
      <c r="F174" s="14"/>
      <c r="G174" s="14"/>
      <c r="H174" s="15">
        <f t="shared" si="4"/>
        <v>0</v>
      </c>
      <c r="I174" s="15">
        <f t="shared" si="5"/>
        <v>0</v>
      </c>
      <c r="J174" s="18">
        <f>Output!F173</f>
        <v>0</v>
      </c>
      <c r="K174" s="18">
        <f>Output!G173</f>
        <v>0</v>
      </c>
    </row>
    <row r="175" spans="1:11" ht="18" customHeight="1" x14ac:dyDescent="0.25">
      <c r="A175" s="15">
        <f>Output!A174</f>
        <v>0</v>
      </c>
      <c r="B175" s="15">
        <f>Output!B174</f>
        <v>0</v>
      </c>
      <c r="C175" s="15" t="str">
        <f>IFERROR(INT(Output!C174)&amp;" "&amp;IF(MROUND((Output!C174-INT(Output!C174)),1/8)=0,"",VLOOKUP(MROUND((Output!C174-INT(Output!C174)),1/8),fract[],2,FALSE))&amp;"''","")</f>
        <v>0 ''</v>
      </c>
      <c r="D175" s="15" t="str">
        <f>IFERROR(ROUND(INT(Output!D174)/12,0)&amp;"'-"&amp;INT((Output!D174/12-INT(Output!D174/12))*12)&amp;" "&amp;IF(MROUND((Output!D174/12-INT(Output!D174/12))*12-INT((Output!D174/12-INT(Output!D174/12))*12),1/8)=0,"",VLOOKUP(MROUND((Output!D174/12-INT(Output!D174/12))*12-INT((Output!D174/12-INT(Output!D174/12))*12),1/8),fract[],2,FALSE))&amp;"''","")</f>
        <v>0'-0 ''</v>
      </c>
      <c r="E175" s="15" t="str">
        <f>IFERROR(INT(Output!E174)&amp;" "&amp;IF(MROUND((Output!E174-INT(Output!E174)),1/8)=0,"",VLOOKUP(MROUND((Output!E174-INT(Output!E174)),1/8),fract[],2,FALSE))&amp;"''","")</f>
        <v>0 ''</v>
      </c>
      <c r="F175" s="14"/>
      <c r="G175" s="14"/>
      <c r="H175" s="15">
        <f t="shared" si="4"/>
        <v>0</v>
      </c>
      <c r="I175" s="15">
        <f t="shared" si="5"/>
        <v>0</v>
      </c>
      <c r="J175" s="18">
        <f>Output!F174</f>
        <v>0</v>
      </c>
      <c r="K175" s="18">
        <f>Output!G174</f>
        <v>0</v>
      </c>
    </row>
    <row r="176" spans="1:11" ht="18" customHeight="1" x14ac:dyDescent="0.25">
      <c r="A176" s="15">
        <f>Output!A175</f>
        <v>0</v>
      </c>
      <c r="B176" s="15">
        <f>Output!B175</f>
        <v>0</v>
      </c>
      <c r="C176" s="15" t="str">
        <f>IFERROR(INT(Output!C175)&amp;" "&amp;IF(MROUND((Output!C175-INT(Output!C175)),1/8)=0,"",VLOOKUP(MROUND((Output!C175-INT(Output!C175)),1/8),fract[],2,FALSE))&amp;"''","")</f>
        <v>0 ''</v>
      </c>
      <c r="D176" s="15" t="str">
        <f>IFERROR(ROUND(INT(Output!D175)/12,0)&amp;"'-"&amp;INT((Output!D175/12-INT(Output!D175/12))*12)&amp;" "&amp;IF(MROUND((Output!D175/12-INT(Output!D175/12))*12-INT((Output!D175/12-INT(Output!D175/12))*12),1/8)=0,"",VLOOKUP(MROUND((Output!D175/12-INT(Output!D175/12))*12-INT((Output!D175/12-INT(Output!D175/12))*12),1/8),fract[],2,FALSE))&amp;"''","")</f>
        <v>0'-0 ''</v>
      </c>
      <c r="E176" s="15" t="str">
        <f>IFERROR(INT(Output!E175)&amp;" "&amp;IF(MROUND((Output!E175-INT(Output!E175)),1/8)=0,"",VLOOKUP(MROUND((Output!E175-INT(Output!E175)),1/8),fract[],2,FALSE))&amp;"''","")</f>
        <v>0 ''</v>
      </c>
      <c r="F176" s="14"/>
      <c r="G176" s="14"/>
      <c r="H176" s="15">
        <f t="shared" si="4"/>
        <v>0</v>
      </c>
      <c r="I176" s="15">
        <f t="shared" si="5"/>
        <v>0</v>
      </c>
      <c r="J176" s="18">
        <f>Output!F175</f>
        <v>0</v>
      </c>
      <c r="K176" s="18">
        <f>Output!G175</f>
        <v>0</v>
      </c>
    </row>
    <row r="177" spans="1:11" ht="18" customHeight="1" x14ac:dyDescent="0.25">
      <c r="A177" s="15">
        <f>Output!A176</f>
        <v>0</v>
      </c>
      <c r="B177" s="15">
        <f>Output!B176</f>
        <v>0</v>
      </c>
      <c r="C177" s="15" t="str">
        <f>IFERROR(INT(Output!C176)&amp;" "&amp;IF(MROUND((Output!C176-INT(Output!C176)),1/8)=0,"",VLOOKUP(MROUND((Output!C176-INT(Output!C176)),1/8),fract[],2,FALSE))&amp;"''","")</f>
        <v>0 ''</v>
      </c>
      <c r="D177" s="15" t="str">
        <f>IFERROR(ROUND(INT(Output!D176)/12,0)&amp;"'-"&amp;INT((Output!D176/12-INT(Output!D176/12))*12)&amp;" "&amp;IF(MROUND((Output!D176/12-INT(Output!D176/12))*12-INT((Output!D176/12-INT(Output!D176/12))*12),1/8)=0,"",VLOOKUP(MROUND((Output!D176/12-INT(Output!D176/12))*12-INT((Output!D176/12-INT(Output!D176/12))*12),1/8),fract[],2,FALSE))&amp;"''","")</f>
        <v>0'-0 ''</v>
      </c>
      <c r="E177" s="15" t="str">
        <f>IFERROR(INT(Output!E176)&amp;" "&amp;IF(MROUND((Output!E176-INT(Output!E176)),1/8)=0,"",VLOOKUP(MROUND((Output!E176-INT(Output!E176)),1/8),fract[],2,FALSE))&amp;"''","")</f>
        <v>0 ''</v>
      </c>
      <c r="F177" s="14"/>
      <c r="G177" s="14"/>
      <c r="H177" s="15">
        <f t="shared" si="4"/>
        <v>0</v>
      </c>
      <c r="I177" s="15">
        <f t="shared" si="5"/>
        <v>0</v>
      </c>
      <c r="J177" s="18">
        <f>Output!F176</f>
        <v>0</v>
      </c>
      <c r="K177" s="18">
        <f>Output!G176</f>
        <v>0</v>
      </c>
    </row>
    <row r="178" spans="1:11" ht="18" customHeight="1" thickBot="1" x14ac:dyDescent="0.3">
      <c r="A178" s="16">
        <f>Output!A177</f>
        <v>0</v>
      </c>
      <c r="B178" s="16">
        <f>Output!B177</f>
        <v>0</v>
      </c>
      <c r="C178" s="16" t="str">
        <f>IFERROR(INT(Output!C177)&amp;" "&amp;IF(MROUND((Output!C177-INT(Output!C177)),1/8)=0,"",VLOOKUP(MROUND((Output!C177-INT(Output!C177)),1/8),fract[],2,FALSE))&amp;"''","")</f>
        <v>0 ''</v>
      </c>
      <c r="D178" s="16" t="str">
        <f>IFERROR(ROUND(INT(Output!D177)/12,0)&amp;"'-"&amp;INT((Output!D177/12-INT(Output!D177/12))*12)&amp;" "&amp;IF(MROUND((Output!D177/12-INT(Output!D177/12))*12-INT((Output!D177/12-INT(Output!D177/12))*12),1/8)=0,"",VLOOKUP(MROUND((Output!D177/12-INT(Output!D177/12))*12-INT((Output!D177/12-INT(Output!D177/12))*12),1/8),fract[],2,FALSE))&amp;"''","")</f>
        <v>0'-0 ''</v>
      </c>
      <c r="E178" s="16" t="str">
        <f>IFERROR(INT(Output!E177)&amp;" "&amp;IF(MROUND((Output!E177-INT(Output!E177)),1/8)=0,"",VLOOKUP(MROUND((Output!E177-INT(Output!E177)),1/8),fract[],2,FALSE))&amp;"''","")</f>
        <v>0 ''</v>
      </c>
      <c r="F178" s="14"/>
      <c r="G178" s="14"/>
      <c r="H178" s="16">
        <f t="shared" si="4"/>
        <v>0</v>
      </c>
      <c r="I178" s="16">
        <f t="shared" si="5"/>
        <v>0</v>
      </c>
      <c r="J178" s="19">
        <f>Output!F177</f>
        <v>0</v>
      </c>
      <c r="K178" s="19">
        <f>Output!G177</f>
        <v>0</v>
      </c>
    </row>
    <row r="179" spans="1:11" ht="15.75" thickTop="1" x14ac:dyDescent="0.25"/>
  </sheetData>
  <mergeCells count="8">
    <mergeCell ref="H2:H3"/>
    <mergeCell ref="I2:I3"/>
    <mergeCell ref="A1:E1"/>
    <mergeCell ref="A2:A3"/>
    <mergeCell ref="B2:B3"/>
    <mergeCell ref="C2:C3"/>
    <mergeCell ref="D2:D3"/>
    <mergeCell ref="E2:E3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Output</vt:lpstr>
      <vt:lpstr>Paste-To-Cad</vt:lpstr>
      <vt:lpstr>A_Val</vt:lpstr>
      <vt:lpstr>B_Val</vt:lpstr>
      <vt:lpstr>BeamNo</vt:lpstr>
      <vt:lpstr>SpanNo</vt:lpstr>
      <vt:lpstr>X_Val</vt:lpstr>
      <vt:lpstr>Y_Val</vt:lpstr>
      <vt:lpstr>Z_Val</vt:lpstr>
    </vt:vector>
  </TitlesOfParts>
  <Company>Txdot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Edgar Cuellar</dc:creator>
  <cp:lastModifiedBy>Edgar Cuellar</cp:lastModifiedBy>
  <dcterms:created xsi:type="dcterms:W3CDTF">2021-12-15T19:54:29Z</dcterms:created>
  <dcterms:modified xsi:type="dcterms:W3CDTF">2021-12-15T20:26:44Z</dcterms:modified>
</cp:coreProperties>
</file>